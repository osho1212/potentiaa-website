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781d300da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422b3db5594fb8"/>
    <x:sheet xmlns:r="http://schemas.openxmlformats.org/officeDocument/2006/relationships" name="Bookings" sheetId="2" r:id="R6688f9285e214577"/>
    <x:sheet xmlns:r="http://schemas.openxmlformats.org/officeDocument/2006/relationships" name="Attendees" sheetId="3" r:id="Rdb21973f8fd3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₹&quot;#,##0"/>
    <x:numFmt numFmtId="201" formatCode="dd mmm yyyy"/>
    <x:numFmt numFmtId="202" formatCode="h:mm AM/PM"/>
    <x:numFmt numFmtId="203" formatCode="&quot;₹&quot;#,##0.00"/>
    <x:numFmt numFmtId="204" formatCode="dd mmm yyyy hh:mm"/>
    <x:numFmt numFmtId="205" formatCode="@"/>
  </x:numFmts>
  <x:fonts count="6">
    <x:font>
      <x:sz val="11"/>
      <x:name val="Carlito"/>
    </x:font>
    <x:font>
      <x:sz val="10"/>
      <x:color rgb="FF24312C"/>
      <x:name val="Arial"/>
    </x:font>
    <x:font>
      <x:b/>
      <x:sz val="15"/>
      <x:color rgb="FF234F43"/>
      <x:name val="Arial"/>
    </x:font>
    <x:font>
      <x:sz val="10"/>
      <x:color rgb="FF5E6D65"/>
      <x:name val="Arial"/>
    </x:font>
    <x:font>
      <x:b/>
      <x:sz val="10"/>
      <x:color rgb="FFFFFFFF"/>
      <x:name val="Arial"/>
    </x:font>
    <x:font>
      <x:b/>
      <x:sz val="10"/>
      <x:color rgb="FF2431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F43"/>
      </x:patternFill>
    </x:fill>
    <x:fill>
      <x:patternFill patternType="solid">
        <x:fgColor rgb="FFFFF6DA"/>
      </x:patternFill>
    </x:fill>
    <x:fill>
      <x:patternFill patternType="solid">
        <x:fgColor rgb="FFEEF4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805900"/>
      </x:font>
      <x:fill>
        <x:patternFill patternType="solid">
          <x:bgColor rgb="FFFFF0C2"/>
        </x:patternFill>
      </x:fill>
    </x:dxf>
    <x:dxf>
      <x:font>
        <x:b/>
        <x:color rgb="FF9C2D25"/>
      </x:font>
      <x:fill>
        <x:patternFill patternType="solid">
          <x:bgColor rgb="FFFCE2DE"/>
        </x:patternFill>
      </x:fill>
    </x:dxf>
    <x:dxf>
      <x:font>
        <x:b/>
        <x:color rgb="FF9C2D25"/>
      </x:font>
      <x:fill>
        <x:patternFill patternType="solid">
          <x:bgColor rgb="FFFCE2DE"/>
        </x:patternFill>
      </x:fill>
    </x:dxf>
    <x:dxf>
      <x:font>
        <x:color rgb="FF9C2D25"/>
      </x:font>
      <x:fill>
        <x:patternFill patternType="solid">
          <x:bgColor rgb="FFFCE2DE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183b27b5d4950" /><Relationship Type="http://schemas.openxmlformats.org/officeDocument/2006/relationships/theme" Target="/xl/theme/theme1.xml" Id="R9820218b4de24810" /><Relationship Type="http://schemas.openxmlformats.org/officeDocument/2006/relationships/sharedStrings" Target="/xl/sharedStrings.xml" Id="R42fae952fb8841ff" /><Relationship Type="http://schemas.openxmlformats.org/officeDocument/2006/relationships/worksheet" Target="/xl/worksheets/sheet1.xml" Id="R41422b3db5594fb8" /><Relationship Type="http://schemas.openxmlformats.org/officeDocument/2006/relationships/worksheet" Target="/xl/worksheets/sheet2.xml" Id="R6688f9285e214577" /><Relationship Type="http://schemas.openxmlformats.org/officeDocument/2006/relationships/worksheet" Target="/xl/worksheets/sheet3.xml" Id="Rdb21973f8fd342ed" /></Relationships>
</file>

<file path=xl/tables/table1.xml><?xml version="1.0" encoding="utf-8"?>
<x:table xmlns:x="http://schemas.openxmlformats.org/spreadsheetml/2006/main" id="1" name="BookingsTable" displayName="BookingsTable" ref="A5:Y205" headerRowCount="1" totalsRowCount="0" totalsRowShown="0">
  <x:tableColumns count="25">
    <x:tableColumn id="1" name="Booking ID"/>
    <x:tableColumn id="2" name="Booked at (IST)"/>
    <x:tableColumn id="3" name="Buyer full name"/>
    <x:tableColumn id="4" name="Instagram username"/>
    <x:tableColumn id="5" name="Phone"/>
    <x:tableColumn id="6" name="Email"/>
    <x:tableColumn id="7" name="Non-alcoholic qty"/>
    <x:tableColumn id="8" name="Alcohol-inclusive qty"/>
    <x:tableColumn id="9" name="Total people"/>
    <x:tableColumn id="10" name="Non-alcoholic unit ₹"/>
    <x:tableColumn id="11" name="Alcohol-inclusive unit ₹"/>
    <x:tableColumn id="12" name="Base total ₹"/>
    <x:tableColumn id="13" name="Added charges ₹"/>
    <x:tableColumn id="14" name="Total due ₹"/>
    <x:tableColumn id="15" name="Payment status"/>
    <x:tableColumn id="16" name="Verified received ₹"/>
    <x:tableColumn id="17" name="Refunded ₹"/>
    <x:tableColumn id="18" name="Payment link ID"/>
    <x:tableColumn id="19" name="Payment ID"/>
    <x:tableColumn id="20" name="Net received ₹"/>
    <x:tableColumn id="21" name="Attendee rows"/>
    <x:tableColumn id="22" name="Non-alcoholic attendees"/>
    <x:tableColumn id="23" name="Alcohol-inclusive attendees"/>
    <x:tableColumn id="24" name="Notes"/>
    <x:tableColumn id="25" name="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ndeesTable" displayName="AttendeesTable" ref="A5:N205" headerRowCount="1" totalsRowCount="0" totalsRowShown="0">
  <x:tableColumns count="14">
    <x:tableColumn id="1" name="Ticket ID"/>
    <x:tableColumn id="2" name="Booking ID"/>
    <x:tableColumn id="3" name="Attendee full name"/>
    <x:tableColumn id="4" name="Instagram username"/>
    <x:tableColumn id="5" name="Phone"/>
    <x:tableColumn id="6" name="Pass type"/>
    <x:tableColumn id="7" name="Age check at entry"/>
    <x:tableColumn id="8" name="Check-in status"/>
    <x:tableColumn id="9" name="Checked in at (IST)"/>
    <x:tableColumn id="10" name="Booking status"/>
    <x:tableColumn id="11" name="Coupons allowed"/>
    <x:tableColumn id="12" name="Coupons redeemed"/>
    <x:tableColumn id="13" name="Coupons remaining"/>
    <x:tableColumn id="14" name="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b5b7594c4e44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446bef896d43ab" /></Relationships>
</file>

<file path=xl/worksheets/sheet1.xml><?xml version="1.0" encoding="utf-8"?>
<x:worksheet xmlns:x="http://schemas.openxmlformats.org/spreadsheetml/2006/main">
  <x:sheetPr>
    <x:tabColor rgb="FF234F43"/>
  </x:sheetPr>
  <x:sheetViews>
    <x:sheetView showGridLines="0" workbookViewId="0"/>
  </x:sheetViews>
  <x:sheetFormatPr defaultRowHeight="15"/>
  <x:cols>
    <x:col min="1" max="1" width="36" hidden="0" customWidth="1"/>
    <x:col min="2" max="2" width="29" hidden="0" customWidth="1"/>
    <x:col min="3" max="3" width="3" hidden="0" customWidth="1"/>
    <x:col min="4" max="4" width="34" hidden="0" customWidth="1"/>
    <x:col min="5" max="5" width="36" hidden="0" customWidth="1"/>
    <x:col min="6" max="6" width="3" hidden="0" customWidth="1"/>
    <x:col min="7" max="7" width="8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AAGAZ / AXP SOCIAL</x:v>
      </x:c>
      <x:c r="B2" s="2"/>
      <x:c r="C2" s="2"/>
      <x:c r="D2" s="2"/>
      <x:c r="E2" s="2"/>
      <x:c r="F2" s="2"/>
      <x:c r="G2" s="2"/>
    </x:row>
    <x:row r="3" ht="22" customHeight="1">
      <x:c r="A3" s="4" t="str">
        <x:v>6 November 2026 | 3 pm–midnight | Bar closes 10 pm</x:v>
      </x:c>
      <x:c r="B3" s="2"/>
      <x:c r="C3" s="2"/>
      <x:c r="D3" s="2"/>
      <x:c r="E3" s="2"/>
      <x:c r="F3" s="2"/>
      <x:c r="G3" s="2"/>
    </x:row>
    <x:row r="4" ht="22" customHeight="1">
      <x:c r="A4" s="4" t="str">
        <x:v>SaffronStays Sukh Saklana Haveli: Royalty, Rishikesh, Uttarakhand</x:v>
      </x:c>
      <x:c r="B4" s="2"/>
      <x:c r="C4" s="2"/>
      <x:c r="D4" s="2"/>
      <x:c r="E4" s="2"/>
      <x:c r="F4" s="2"/>
      <x:c r="G4" s="2"/>
    </x:row>
    <x:row r="5" ht="22" customHeight="1">
      <x:c r="A5" s="4" t="str">
        <x:v>Manual tracker. No payment connection, automatic emails or enforced sales limit.</x:v>
      </x:c>
      <x:c r="B5" s="2"/>
      <x:c r="C5" s="2"/>
      <x:c r="D5" s="2"/>
      <x:c r="E5" s="2"/>
      <x:c r="F5" s="2"/>
      <x:c r="G5" s="2"/>
    </x:row>
    <x:row r="6" ht="22" customHeight="1">
      <x:c r="A6" s="2"/>
      <x:c r="B6" s="2"/>
      <x:c r="C6" s="2"/>
      <x:c r="D6" s="2"/>
      <x:c r="E6" s="2"/>
      <x:c r="F6" s="2"/>
      <x:c r="G6" s="2"/>
    </x:row>
    <x:row r="7" ht="36" customHeight="1">
      <x:c r="A7" s="8" t="str">
        <x:v>Booking summary</x:v>
      </x:c>
      <x:c r="B7" s="8" t="str">
        <x:v>Current value</x:v>
      </x:c>
      <x:c r="C7" s="2"/>
      <x:c r="D7" s="8" t="str">
        <x:v>Event settings</x:v>
      </x:c>
      <x:c r="E7" s="8" t="str">
        <x:v>Value</x:v>
      </x:c>
      <x:c r="F7" s="2"/>
      <x:c r="G7" s="2"/>
    </x:row>
    <x:row r="8" ht="22" customHeight="1">
      <x:c r="A8" s="2" t="str">
        <x:v>Confirmed people</x:v>
      </x:c>
      <x:c r="B8" s="13" t="n">
        <x:f>SUMIFS('Bookings'!$I$6:$I$205,'Bookings'!$O$6:$O$205,"Confirmed")</x:f>
        <x:v>0</x:v>
      </x:c>
      <x:c r="C8" s="2"/>
      <x:c r="D8" s="2" t="str">
        <x:v>Capacity (people)</x:v>
      </x:c>
      <x:c r="E8" s="9" t="n">
        <x:v>200</x:v>
      </x:c>
      <x:c r="F8" s="2"/>
      <x:c r="G8" s="2"/>
    </x:row>
    <x:row r="9" ht="22" customHeight="1">
      <x:c r="A9" s="2" t="str">
        <x:v>Non-alcoholic passes</x:v>
      </x:c>
      <x:c r="B9" s="13" t="n">
        <x:f>SUMIFS('Bookings'!$G$6:$G$205,'Bookings'!$O$6:$O$205,"Confirmed")</x:f>
        <x:v>0</x:v>
      </x:c>
      <x:c r="C9" s="2"/>
      <x:c r="D9" s="2" t="str">
        <x:v>Early warning (people)</x:v>
      </x:c>
      <x:c r="E9" s="9" t="n">
        <x:v>150</x:v>
      </x:c>
      <x:c r="F9" s="2"/>
      <x:c r="G9" s="2"/>
    </x:row>
    <x:row r="10" ht="22" customHeight="1">
      <x:c r="A10" s="2" t="str">
        <x:v>Alcohol-inclusive passes</x:v>
      </x:c>
      <x:c r="B10" s="13" t="n">
        <x:f>SUMIFS('Bookings'!$H$6:$H$205,'Bookings'!$O$6:$O$205,"Confirmed")</x:f>
        <x:v>0</x:v>
      </x:c>
      <x:c r="C10" s="2"/>
      <x:c r="D10" s="2" t="str">
        <x:v>Maximum passes per booking</x:v>
      </x:c>
      <x:c r="E10" s="9" t="n">
        <x:v>5</x:v>
      </x:c>
      <x:c r="F10" s="2"/>
      <x:c r="G10" s="2"/>
    </x:row>
    <x:row r="11" ht="22" customHeight="1">
      <x:c r="A11" s="2" t="str">
        <x:v>Pending people</x:v>
      </x:c>
      <x:c r="B11" s="13" t="n">
        <x:f>SUMIFS('Bookings'!$I$6:$I$205,'Bookings'!$O$6:$O$205,"Pending")</x:f>
        <x:v>0</x:v>
      </x:c>
      <x:c r="C11" s="2"/>
      <x:c r="D11" s="2" t="str">
        <x:v>Non-alcoholic base price</x:v>
      </x:c>
      <x:c r="E11" s="10" t="n">
        <x:v>2999</x:v>
      </x:c>
      <x:c r="F11" s="2"/>
      <x:c r="G11" s="2"/>
    </x:row>
    <x:row r="12" ht="22" customHeight="1">
      <x:c r="A12" s="2" t="str">
        <x:v>Remaining capacity</x:v>
      </x:c>
      <x:c r="B12" s="13" t="n">
        <x:f>E8-B8</x:f>
        <x:v>200</x:v>
      </x:c>
      <x:c r="C12" s="2"/>
      <x:c r="D12" s="2" t="str">
        <x:v>Alcohol-inclusive base price</x:v>
      </x:c>
      <x:c r="E12" s="10" t="n">
        <x:v>3999</x:v>
      </x:c>
      <x:c r="F12" s="2"/>
      <x:c r="G12" s="2"/>
    </x:row>
    <x:row r="13" ht="35" customHeight="1">
      <x:c r="A13" s="2" t="str">
        <x:v>Capacity notice</x:v>
      </x:c>
      <x:c r="B13" s="15" t="str">
        <x:f>IF(B8&gt;E8,"OVER CAPACITY",IF(B8=E8,"200 reached: stop sales",IF(B8&gt;=E9,"150 reached: inform organiser","Below early warning")))</x:f>
        <x:v>Below early warning</x:v>
      </x:c>
      <x:c r="C13" s="2"/>
      <x:c r="D13" s="2" t="str">
        <x:v>Event date</x:v>
      </x:c>
      <x:c r="E13" s="11" t="d">
        <x:v>2026-11-06T00:00:00.000Z</x:v>
      </x:c>
      <x:c r="F13" s="2"/>
      <x:c r="G13" s="2"/>
    </x:row>
    <x:row r="14" ht="22" customHeight="1">
      <x:c r="A14" s="2" t="str">
        <x:v>Verified gross received</x:v>
      </x:c>
      <x:c r="B14" s="14" t="n">
        <x:f>SUM('Bookings'!$P$6:$P$205)</x:f>
        <x:v>0</x:v>
      </x:c>
      <x:c r="C14" s="2"/>
      <x:c r="D14" s="2" t="str">
        <x:v>Event starts (IST)</x:v>
      </x:c>
      <x:c r="E14" s="12" t="n">
        <x:v>0.625</x:v>
      </x:c>
      <x:c r="F14" s="2"/>
      <x:c r="G14" s="2"/>
    </x:row>
    <x:row r="15" ht="22" customHeight="1">
      <x:c r="A15" s="2" t="str">
        <x:v>Refunds recorded</x:v>
      </x:c>
      <x:c r="B15" s="14" t="n">
        <x:f>SUM('Bookings'!$Q$6:$Q$205)</x:f>
        <x:v>0</x:v>
      </x:c>
      <x:c r="C15" s="2"/>
      <x:c r="D15" s="2" t="str">
        <x:v>Event ends</x:v>
      </x:c>
      <x:c r="E15" s="9" t="str">
        <x:v>Midnight, 7 November</x:v>
      </x:c>
      <x:c r="F15" s="2"/>
      <x:c r="G15" s="2"/>
    </x:row>
    <x:row r="16" ht="22" customHeight="1">
      <x:c r="A16" s="2" t="str">
        <x:v>Net received (before fees)</x:v>
      </x:c>
      <x:c r="B16" s="14" t="n">
        <x:f>SUM('Bookings'!$T$6:$T$205)</x:f>
        <x:v>0</x:v>
      </x:c>
      <x:c r="C16" s="2"/>
      <x:c r="D16" s="2" t="str">
        <x:v>Bar closes (IST)</x:v>
      </x:c>
      <x:c r="E16" s="12" t="n">
        <x:v>0.9166666666666666</x:v>
      </x:c>
      <x:c r="F16" s="2"/>
      <x:c r="G16" s="2"/>
    </x:row>
    <x:row r="17" ht="22" customHeight="1">
      <x:c r="A17" s="2" t="str">
        <x:v>Pending amount</x:v>
      </x:c>
      <x:c r="B17" s="14" t="n">
        <x:f>SUMIFS('Bookings'!$N$6:$N$205,'Bookings'!$O$6:$O$205,"Pending")</x:f>
        <x:v>0</x:v>
      </x:c>
      <x:c r="C17" s="2"/>
      <x:c r="D17" s="2" t="str">
        <x:v>Minimum entry age</x:v>
      </x:c>
      <x:c r="E17" s="9" t="n">
        <x:v>20</x:v>
      </x:c>
      <x:c r="F17" s="2"/>
      <x:c r="G17" s="2"/>
    </x:row>
    <x:row r="18" ht="22" customHeight="1">
      <x:c r="A18" s="2" t="str">
        <x:v>Attendee records</x:v>
      </x:c>
      <x:c r="B18" s="13" t="n">
        <x:f>COUNTIFS('Attendees'!$A$6:$A$205,"&lt;&gt;")</x:f>
        <x:v>0</x:v>
      </x:c>
      <x:c r="C18" s="2"/>
      <x:c r="D18" s="2" t="str">
        <x:v>Alcohol minimum age</x:v>
      </x:c>
      <x:c r="E18" s="9" t="n">
        <x:v>21</x:v>
      </x:c>
      <x:c r="F18" s="2"/>
      <x:c r="G18" s="2"/>
    </x:row>
    <x:row r="19" ht="22" customHeight="1">
      <x:c r="A19" s="2" t="str">
        <x:v>Checked in (confirmed only)</x:v>
      </x:c>
      <x:c r="B19" s="13" t="n">
        <x:f>COUNTIFS('Attendees'!$H$6:$H$205,"Checked in",'Attendees'!$J$6:$J$205,"Confirmed")</x:f>
        <x:v>0</x:v>
      </x:c>
      <x:c r="C19" s="2"/>
      <x:c r="D19" s="2" t="str">
        <x:v>Support contact</x:v>
      </x:c>
      <x:c r="E19" s="9" t="str">
        <x:v>+91 9897798748</x:v>
      </x:c>
      <x:c r="F19" s="2"/>
      <x:c r="G19" s="2"/>
    </x:row>
    <x:row r="20" ht="22" customHeight="1">
      <x:c r="A20" s="2" t="str">
        <x:v>Booking rows to review</x:v>
      </x:c>
      <x:c r="B20" s="13" t="n">
        <x:f>COUNTIFS('Bookings'!$Y$6:$Y$205,"?*")</x:f>
        <x:v>0</x:v>
      </x:c>
      <x:c r="C20" s="2"/>
      <x:c r="D20" s="2" t="str">
        <x:v>Alert recipient email</x:v>
      </x:c>
      <x:c r="E20" s="9" t="str">
        <x:v>Not provided</x:v>
      </x:c>
      <x:c r="F20" s="2"/>
      <x:c r="G20" s="2"/>
    </x:row>
    <x:row r="21" ht="22" customHeight="1">
      <x:c r="A21" s="2" t="str">
        <x:v>Attendee rows to review</x:v>
      </x:c>
      <x:c r="B21" s="13" t="n">
        <x:f>COUNTIFS('Attendees'!$N$6:$N$205,"?*")</x:f>
        <x:v>0</x:v>
      </x:c>
      <x:c r="C21" s="2"/>
      <x:c r="D21" s="2" t="str">
        <x:v>Razorpay package approval</x:v>
      </x:c>
      <x:c r="E21" s="9" t="str">
        <x:v>Not confirmed</x:v>
      </x:c>
      <x:c r="F21" s="2"/>
      <x:c r="G21" s="2"/>
    </x:row>
    <x:row r="22" ht="22" customHeight="1">
      <x:c r="A22" s="2"/>
      <x:c r="B22" s="2"/>
      <x:c r="C22" s="2"/>
      <x:c r="D22" s="2" t="str">
        <x:v>Added charges / tax</x:v>
      </x:c>
      <x:c r="E22" s="9" t="str">
        <x:v>Not confirmed</x:v>
      </x:c>
      <x:c r="F22" s="2"/>
      <x:c r="G22" s="2"/>
    </x:row>
    <x:row r="23" ht="22" customHeight="1">
      <x:c r="A23" s="2"/>
      <x:c r="B23" s="2"/>
      <x:c r="C23" s="2"/>
      <x:c r="D23" s="2"/>
      <x:c r="E23" s="2"/>
      <x:c r="F23" s="2"/>
      <x:c r="G23" s="2"/>
    </x:row>
    <x:row r="24" ht="22" customHeight="1">
      <x:c r="A24" s="2"/>
      <x:c r="B24" s="2"/>
      <x:c r="C24" s="2"/>
      <x:c r="D24" s="2"/>
      <x:c r="E24" s="2"/>
      <x:c r="F24" s="2"/>
      <x:c r="G24" s="2"/>
    </x:row>
    <x:row r="25" ht="45" customHeight="1">
      <x:c r="A25" s="2"/>
      <x:c r="B25" s="2"/>
      <x:c r="C25" s="2"/>
      <x:c r="D25" s="16" t="str">
        <x:v>Using this tracker</x:v>
      </x:c>
      <x:c r="E25" s="17" t="str">
        <x:v>Create one booking ID, then one attendee row for every pass.</x:v>
      </x:c>
      <x:c r="F25" s="2"/>
      <x:c r="G25" s="2"/>
    </x:row>
    <x:row r="26" ht="45" customHeight="1">
      <x:c r="A26" s="2"/>
      <x:c r="B26" s="2"/>
      <x:c r="C26" s="2"/>
      <x:c r="D26" s="16" t="str">
        <x:v>Payment status</x:v>
      </x:c>
      <x:c r="E26" s="17" t="str">
        <x:v>Use Confirmed only after full payment is independently verified.</x:v>
      </x:c>
      <x:c r="F26" s="2"/>
      <x:c r="G26" s="2"/>
    </x:row>
    <x:row r="27" ht="45" customHeight="1">
      <x:c r="A27" s="2"/>
      <x:c r="B27" s="2"/>
      <x:c r="C27" s="2"/>
      <x:c r="D27" s="16" t="str">
        <x:v>Price snapshots</x:v>
      </x:c>
      <x:c r="E27" s="17" t="str">
        <x:v>Booked unit prices are stored per row. Keep historical prices unchanged.</x:v>
      </x:c>
      <x:c r="F27" s="2"/>
      <x:c r="G27" s="2"/>
    </x:row>
    <x:row r="28" ht="45" customHeight="1">
      <x:c r="A28" s="2"/>
      <x:c r="B28" s="2"/>
      <x:c r="C28" s="2"/>
      <x:c r="D28" s="16" t="str">
        <x:v>Additional charges</x:v>
      </x:c>
      <x:c r="E28" s="17" t="str">
        <x:v>Enter the approved amount, including an explicit 0 if none.</x:v>
      </x:c>
      <x:c r="F28" s="2"/>
      <x:c r="G28" s="2"/>
    </x:row>
    <x:row r="29" ht="45" customHeight="1">
      <x:c r="A29" s="2"/>
      <x:c r="B29" s="2"/>
      <x:c r="C29" s="2"/>
      <x:c r="D29" s="16" t="str">
        <x:v>Before taking payments</x:v>
      </x:c>
      <x:c r="E29" s="17" t="str">
        <x:v>Confirm gateway approval, live activation, taxes, support and alcohol rules.</x:v>
      </x:c>
      <x:c r="F29" s="2"/>
      <x:c r="G29" s="2"/>
    </x:row>
    <x:row r="30" ht="45" customHeight="1">
      <x:c r="A30" s="2"/>
      <x:c r="B30" s="2"/>
      <x:c r="C30" s="2"/>
      <x:c r="D30" s="16" t="str">
        <x:v>Capacity alerts</x:v>
      </x:c>
      <x:c r="E30" s="17" t="str">
        <x:v>Warnings appear here only. No email/SMS is sent by this workbook.</x:v>
      </x:c>
      <x:c r="F30" s="2"/>
      <x:c r="G30" s="2"/>
    </x:row>
    <x:row r="31" ht="45" customHeight="1">
      <x:c r="A31" s="2"/>
      <x:c r="B31" s="2"/>
      <x:c r="C31" s="2"/>
      <x:c r="D31" s="16" t="str">
        <x:v>Storage and access</x:v>
      </x:c>
      <x:c r="E31" s="17" t="str">
        <x:v>Contains private guest information. Share with authorised organisers only.</x:v>
      </x:c>
      <x:c r="F31" s="2"/>
      <x:c r="G31" s="2"/>
    </x:row>
    <x:row r="32" ht="45" customHeight="1">
      <x:c r="A32" s="2"/>
      <x:c r="B32" s="2"/>
      <x:c r="C32" s="2"/>
      <x:c r="D32" s="16" t="str">
        <x:v>New columns</x:v>
      </x:c>
      <x:c r="E32" s="17" t="str">
        <x:v>Add after the table. Do not overwrite grey calculation columns.</x:v>
      </x:c>
      <x:c r="F32" s="2"/>
      <x:c r="G32" s="2"/>
    </x:row>
    <x:row r="33" ht="45" customHeight="1">
      <x:c r="A33" s="2"/>
      <x:c r="B33" s="2"/>
      <x:c r="C33" s="2"/>
      <x:c r="D33" s="16" t="str">
        <x:v>Limit of this template</x:v>
      </x:c>
      <x:c r="E33" s="17" t="str">
        <x:v>Prepared for 200 bookings and 200 attendee rows. It does not reserve seats.</x:v>
      </x:c>
      <x:c r="F33" s="2"/>
      <x:c r="G33" s="2"/>
    </x:row>
    <x:row r="34" ht="45" customHeight="1">
      <x:c r="A34" s="2"/>
      <x:c r="B34" s="2"/>
      <x:c r="C34" s="2"/>
      <x:c r="D34" s="16" t="str">
        <x:v>Sources</x:v>
      </x:c>
      <x:c r="E34" s="17" t="str">
        <x:v>Event, prices, times, limits and venue approval: user, 15 October 2026.</x:v>
      </x:c>
      <x:c r="F34" s="2"/>
      <x:c r="G34" s="2"/>
    </x:row>
    <x:row r="35" ht="72" customHeight="1">
      <x:c r="A35" s="2"/>
      <x:c r="B35" s="2"/>
      <x:c r="C35" s="2"/>
      <x:c r="D35" s="16" t="str">
        <x:v>Venue reference</x:v>
      </x:c>
      <x:c r="E35" s="17" t="str">
        <x:v>https://www.saffronstays.com/view/saffronstays-sukh-saklana-haveli-royalty-8-bedroom-pool-villa-rishikesh-C6JeIncAMUvA5vL8</x:v>
      </x:c>
      <x:c r="F35" s="2"/>
      <x:c r="G35" s="2"/>
    </x:row>
    <x:row r="36" ht="72" customHeight="1">
      <x:c r="A36" s="2"/>
      <x:c r="B36" s="2"/>
      <x:c r="C36" s="2"/>
      <x:c r="D36" s="16" t="str">
        <x:v>Gateway policy</x:v>
      </x:c>
      <x:c r="E36" s="17" t="str">
        <x:v>https://razorpay.com/terms/</x:v>
      </x:c>
      <x:c r="F36" s="2"/>
      <x:c r="G36" s="2"/>
    </x:row>
    <x:row r="37" ht="22" customHeight="1">
      <x:c r="A37" s="2"/>
      <x:c r="B37" s="2"/>
      <x:c r="C37" s="2"/>
      <x:c r="D37" s="2"/>
      <x:c r="E37" s="2"/>
      <x:c r="F37" s="2"/>
      <x:c r="G37" s="2"/>
    </x:row>
  </x:sheetData>
  <x:conditionalFormatting sqref="B8:B8">
    <x:cfRule type="cellIs" dxfId="0" priority="1" operator="greaterThanOrEqual">
      <x:formula>150</x:formula>
    </x:cfRule>
    <x:cfRule type="cellIs" dxfId="1" priority="2" operator="greaterThanOrEqual">
      <x:formula>200</x:formula>
    </x:cfRule>
  </x:conditionalFormatting>
  <x:conditionalFormatting sqref="B20:B21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7" hidden="0" customWidth="1"/>
    <x:col min="4" max="4" width="25" hidden="0" customWidth="1"/>
    <x:col min="5" max="5" width="20" hidden="0" customWidth="1"/>
    <x:col min="6" max="6" width="30" hidden="0" customWidth="1"/>
    <x:col min="7" max="7" width="16" hidden="0" customWidth="1"/>
    <x:col min="8" max="8" width="18" hidden="0" customWidth="1"/>
    <x:col min="9" max="9" width="14" hidden="0" customWidth="1"/>
    <x:col min="10" max="10" width="19" hidden="0" customWidth="1"/>
    <x:col min="11" max="11" width="21" hidden="0" customWidth="1"/>
    <x:col min="12" max="12" width="18" hidden="0" customWidth="1"/>
    <x:col min="13" max="13" width="18" hidden="0" customWidth="1"/>
    <x:col min="14" max="14" width="18" hidden="0" customWidth="1"/>
    <x:col min="15" max="15" width="19" hidden="0" customWidth="1"/>
    <x:col min="16" max="16" width="20" hidden="0" customWidth="1"/>
    <x:col min="17" max="17" width="20" hidden="0" customWidth="1"/>
    <x:col min="18" max="18" width="29" hidden="0" customWidth="1"/>
    <x:col min="19" max="19" width="29" hidden="0" customWidth="1"/>
    <x:col min="20" max="20" width="20" hidden="0" customWidth="1"/>
    <x:col min="21" max="21" width="16" hidden="0" customWidth="1"/>
    <x:col min="22" max="22" width="19" hidden="0" customWidth="1"/>
    <x:col min="23" max="23" width="21" hidden="0" customWidth="1"/>
    <x:col min="24" max="24" width="36" hidden="0" customWidth="1"/>
    <x:col min="25" max="25" width="4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8" customHeight="1">
      <x:c r="A2" s="3" t="str">
        <x:v>BOOKINGS / ONE ROW PER BUYER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2" customHeight="1">
      <x:c r="A3" s="2" t="str">
        <x:v>Yellow = editable. Grey = calculation. Enter additional charges explicitly (0 if none). Prices are snapshots, not linked to settings.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22" customHeight="1">
      <x:c r="A4" s="2" t="str">
        <x:v>Confirm payment against Razorpay before setting Confirmed. This workbook does not verify payments or enforce inventory.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36" customHeight="1">
      <x:c r="A5" s="8" t="str">
        <x:v>Booking ID</x:v>
      </x:c>
      <x:c r="B5" s="8" t="str">
        <x:v>Booked at (IST)</x:v>
      </x:c>
      <x:c r="C5" s="8" t="str">
        <x:v>Buyer full name</x:v>
      </x:c>
      <x:c r="D5" s="8" t="str">
        <x:v>Instagram username</x:v>
      </x:c>
      <x:c r="E5" s="8" t="str">
        <x:v>Phone</x:v>
      </x:c>
      <x:c r="F5" s="8" t="str">
        <x:v>Email</x:v>
      </x:c>
      <x:c r="G5" s="8" t="str">
        <x:v>Non-alcoholic qty</x:v>
      </x:c>
      <x:c r="H5" s="8" t="str">
        <x:v>Alcohol-inclusive qty</x:v>
      </x:c>
      <x:c r="I5" s="8" t="str">
        <x:v>Total people</x:v>
      </x:c>
      <x:c r="J5" s="8" t="str">
        <x:v>Non-alcoholic unit ₹</x:v>
      </x:c>
      <x:c r="K5" s="8" t="str">
        <x:v>Alcohol-inclusive unit ₹</x:v>
      </x:c>
      <x:c r="L5" s="8" t="str">
        <x:v>Base total ₹</x:v>
      </x:c>
      <x:c r="M5" s="8" t="str">
        <x:v>Added charges ₹</x:v>
      </x:c>
      <x:c r="N5" s="8" t="str">
        <x:v>Total due ₹</x:v>
      </x:c>
      <x:c r="O5" s="8" t="str">
        <x:v>Payment status</x:v>
      </x:c>
      <x:c r="P5" s="8" t="str">
        <x:v>Verified received ₹</x:v>
      </x:c>
      <x:c r="Q5" s="8" t="str">
        <x:v>Refunded ₹</x:v>
      </x:c>
      <x:c r="R5" s="8" t="str">
        <x:v>Payment link ID</x:v>
      </x:c>
      <x:c r="S5" s="8" t="str">
        <x:v>Payment ID</x:v>
      </x:c>
      <x:c r="T5" s="8" t="str">
        <x:v>Net received ₹</x:v>
      </x:c>
      <x:c r="U5" s="8" t="str">
        <x:v>Attendee rows</x:v>
      </x:c>
      <x:c r="V5" s="8" t="str">
        <x:v>Non-alcoholic attendees</x:v>
      </x:c>
      <x:c r="W5" s="8" t="str">
        <x:v>Alcohol-inclusive attendees</x:v>
      </x:c>
      <x:c r="X5" s="8" t="str">
        <x:v>Notes</x:v>
      </x:c>
      <x:c r="Y5" s="8" t="str">
        <x:v>Review</x:v>
      </x:c>
    </x:row>
    <x:row r="6" ht="22" customHeight="1">
      <x:c r="A6" s="9"/>
      <x:c r="B6" s="18"/>
      <x:c r="C6" s="9"/>
      <x:c r="D6" s="9"/>
      <x:c r="E6" s="19"/>
      <x:c r="F6" s="19"/>
      <x:c r="G6" s="9"/>
      <x:c r="H6" s="9"/>
      <x:c r="I6" s="13" t="str">
        <x:f>IF(A6="","",SUM(G6:H6))</x:f>
      </x:c>
      <x:c r="J6" s="20" t="n">
        <x:v>2999</x:v>
      </x:c>
      <x:c r="K6" s="20" t="n">
        <x:v>3999</x:v>
      </x:c>
      <x:c r="L6" s="14" t="str">
        <x:f>IF(A6="","",G6*J6+H6*K6)</x:f>
      </x:c>
      <x:c r="M6" s="20"/>
      <x:c r="N6" s="14" t="str">
        <x:f>IF(A6="","",IF(ISNUMBER(M6),ROUND(L6+M6,2),"Set added charges"))</x:f>
      </x:c>
      <x:c r="O6" s="9"/>
      <x:c r="P6" s="20"/>
      <x:c r="Q6" s="20"/>
      <x:c r="R6" s="19"/>
      <x:c r="S6" s="19"/>
      <x:c r="T6" s="14" t="str">
        <x:f>IF(A6="","",P6-Q6)</x:f>
      </x:c>
      <x:c r="U6" s="13" t="str">
        <x:f>IF(A6="","",COUNTIFS('Attendees'!$B$6:$B$205,A6,'Attendees'!$A$6:$A$205,"&lt;&gt;"))</x:f>
      </x:c>
      <x:c r="V6" s="13" t="str">
        <x:f>IF(A6="","",COUNTIFS('Attendees'!$B$6:$B$205,A6,'Attendees'!$F$6:$F$205,"Non-alcoholic",'Attendees'!$A$6:$A$205,"&lt;&gt;"))</x:f>
      </x:c>
      <x:c r="W6" s="13" t="str">
        <x:f>IF(A6="","",COUNTIFS('Attendees'!$B$6:$B$205,A6,'Attendees'!$F$6:$F$205,"Alcohol-inclusive",'Attendees'!$A$6:$A$205,"&lt;&gt;"))</x:f>
      </x:c>
      <x:c r="X6" s="9"/>
      <x:c r="Y6" s="13" t="str">
        <x:f>IF(A6="","",IF(COUNTIFS($A$6:$A$205,A6)&gt;1,"Duplicate booking ID",IF(OR(I6&lt;1,I6&gt;'Dashboard'!$E$10,G6&lt;0,H6&lt;0,G6&lt;&gt;INT(G6),H6&lt;&gt;INT(H6)),"Use 1–5 whole passes",IF(OR(C6="",E6="",F6=""),"Complete buyer name, phone and email",IF(NOT(ISNUMBER(M6)),"Set added charges (0 if none)",IF(AND(S6&lt;&gt;"",COUNTIFS($S$6:$S$205,S6)&gt;1),"Duplicate payment ID",IF(AND(O6="Confirmed",OR(P6&lt;&gt;N6,S6="")),"Verify full payment + payment ID",IF(OR(U6&lt;&gt;I6,V6&lt;&gt;G6,W6&lt;&gt;H6),"Complete matching attendee details",""))))))))</x:f>
      </x:c>
    </x:row>
    <x:row r="7" ht="22" customHeight="1">
      <x:c r="A7" s="9"/>
      <x:c r="B7" s="18"/>
      <x:c r="C7" s="9"/>
      <x:c r="D7" s="9"/>
      <x:c r="E7" s="19"/>
      <x:c r="F7" s="19"/>
      <x:c r="G7" s="9"/>
      <x:c r="H7" s="9"/>
      <x:c r="I7" s="13" t="str">
        <x:f>IF(A7="","",SUM(G7:H7))</x:f>
      </x:c>
      <x:c r="J7" s="20" t="n">
        <x:v>2999</x:v>
      </x:c>
      <x:c r="K7" s="20" t="n">
        <x:v>3999</x:v>
      </x:c>
      <x:c r="L7" s="14" t="str">
        <x:f>IF(A7="","",G7*J7+H7*K7)</x:f>
      </x:c>
      <x:c r="M7" s="20"/>
      <x:c r="N7" s="14" t="str">
        <x:f>IF(A7="","",IF(ISNUMBER(M7),ROUND(L7+M7,2),"Set added charges"))</x:f>
      </x:c>
      <x:c r="O7" s="9"/>
      <x:c r="P7" s="20"/>
      <x:c r="Q7" s="20"/>
      <x:c r="R7" s="19"/>
      <x:c r="S7" s="19"/>
      <x:c r="T7" s="14" t="str">
        <x:f>IF(A7="","",P7-Q7)</x:f>
      </x:c>
      <x:c r="U7" s="13" t="str">
        <x:f>IF(A7="","",COUNTIFS('Attendees'!$B$6:$B$205,A7,'Attendees'!$A$6:$A$205,"&lt;&gt;"))</x:f>
      </x:c>
      <x:c r="V7" s="13" t="str">
        <x:f>IF(A7="","",COUNTIFS('Attendees'!$B$6:$B$205,A7,'Attendees'!$F$6:$F$205,"Non-alcoholic",'Attendees'!$A$6:$A$205,"&lt;&gt;"))</x:f>
      </x:c>
      <x:c r="W7" s="13" t="str">
        <x:f>IF(A7="","",COUNTIFS('Attendees'!$B$6:$B$205,A7,'Attendees'!$F$6:$F$205,"Alcohol-inclusive",'Attendees'!$A$6:$A$205,"&lt;&gt;"))</x:f>
      </x:c>
      <x:c r="X7" s="9"/>
      <x:c r="Y7" s="13" t="str">
        <x:f>IF(A7="","",IF(COUNTIFS($A$6:$A$205,A7)&gt;1,"Duplicate booking ID",IF(OR(I7&lt;1,I7&gt;'Dashboard'!$E$10,G7&lt;0,H7&lt;0,G7&lt;&gt;INT(G7),H7&lt;&gt;INT(H7)),"Use 1–5 whole passes",IF(OR(C7="",E7="",F7=""),"Complete buyer name, phone and email",IF(NOT(ISNUMBER(M7)),"Set added charges (0 if none)",IF(AND(S7&lt;&gt;"",COUNTIFS($S$6:$S$205,S7)&gt;1),"Duplicate payment ID",IF(AND(O7="Confirmed",OR(P7&lt;&gt;N7,S7="")),"Verify full payment + payment ID",IF(OR(U7&lt;&gt;I7,V7&lt;&gt;G7,W7&lt;&gt;H7),"Complete matching attendee details",""))))))))</x:f>
      </x:c>
    </x:row>
    <x:row r="8" ht="22" customHeight="1">
      <x:c r="A8" s="9"/>
      <x:c r="B8" s="18"/>
      <x:c r="C8" s="9"/>
      <x:c r="D8" s="9"/>
      <x:c r="E8" s="19"/>
      <x:c r="F8" s="19"/>
      <x:c r="G8" s="9"/>
      <x:c r="H8" s="9"/>
      <x:c r="I8" s="13" t="str">
        <x:f>IF(A8="","",SUM(G8:H8))</x:f>
      </x:c>
      <x:c r="J8" s="20" t="n">
        <x:v>2999</x:v>
      </x:c>
      <x:c r="K8" s="20" t="n">
        <x:v>3999</x:v>
      </x:c>
      <x:c r="L8" s="14" t="str">
        <x:f>IF(A8="","",G8*J8+H8*K8)</x:f>
      </x:c>
      <x:c r="M8" s="20"/>
      <x:c r="N8" s="14" t="str">
        <x:f>IF(A8="","",IF(ISNUMBER(M8),ROUND(L8+M8,2),"Set added charges"))</x:f>
      </x:c>
      <x:c r="O8" s="9"/>
      <x:c r="P8" s="20"/>
      <x:c r="Q8" s="20"/>
      <x:c r="R8" s="19"/>
      <x:c r="S8" s="19"/>
      <x:c r="T8" s="14" t="str">
        <x:f>IF(A8="","",P8-Q8)</x:f>
      </x:c>
      <x:c r="U8" s="13" t="str">
        <x:f>IF(A8="","",COUNTIFS('Attendees'!$B$6:$B$205,A8,'Attendees'!$A$6:$A$205,"&lt;&gt;"))</x:f>
      </x:c>
      <x:c r="V8" s="13" t="str">
        <x:f>IF(A8="","",COUNTIFS('Attendees'!$B$6:$B$205,A8,'Attendees'!$F$6:$F$205,"Non-alcoholic",'Attendees'!$A$6:$A$205,"&lt;&gt;"))</x:f>
      </x:c>
      <x:c r="W8" s="13" t="str">
        <x:f>IF(A8="","",COUNTIFS('Attendees'!$B$6:$B$205,A8,'Attendees'!$F$6:$F$205,"Alcohol-inclusive",'Attendees'!$A$6:$A$205,"&lt;&gt;"))</x:f>
      </x:c>
      <x:c r="X8" s="9"/>
      <x:c r="Y8" s="13" t="str">
        <x:f>IF(A8="","",IF(COUNTIFS($A$6:$A$205,A8)&gt;1,"Duplicate booking ID",IF(OR(I8&lt;1,I8&gt;'Dashboard'!$E$10,G8&lt;0,H8&lt;0,G8&lt;&gt;INT(G8),H8&lt;&gt;INT(H8)),"Use 1–5 whole passes",IF(OR(C8="",E8="",F8=""),"Complete buyer name, phone and email",IF(NOT(ISNUMBER(M8)),"Set added charges (0 if none)",IF(AND(S8&lt;&gt;"",COUNTIFS($S$6:$S$205,S8)&gt;1),"Duplicate payment ID",IF(AND(O8="Confirmed",OR(P8&lt;&gt;N8,S8="")),"Verify full payment + payment ID",IF(OR(U8&lt;&gt;I8,V8&lt;&gt;G8,W8&lt;&gt;H8),"Complete matching attendee details",""))))))))</x:f>
      </x:c>
    </x:row>
    <x:row r="9" ht="22" customHeight="1">
      <x:c r="A9" s="9"/>
      <x:c r="B9" s="18"/>
      <x:c r="C9" s="9"/>
      <x:c r="D9" s="9"/>
      <x:c r="E9" s="19"/>
      <x:c r="F9" s="19"/>
      <x:c r="G9" s="9"/>
      <x:c r="H9" s="9"/>
      <x:c r="I9" s="13" t="str">
        <x:f>IF(A9="","",SUM(G9:H9))</x:f>
      </x:c>
      <x:c r="J9" s="20" t="n">
        <x:v>2999</x:v>
      </x:c>
      <x:c r="K9" s="20" t="n">
        <x:v>3999</x:v>
      </x:c>
      <x:c r="L9" s="14" t="str">
        <x:f>IF(A9="","",G9*J9+H9*K9)</x:f>
      </x:c>
      <x:c r="M9" s="20"/>
      <x:c r="N9" s="14" t="str">
        <x:f>IF(A9="","",IF(ISNUMBER(M9),ROUND(L9+M9,2),"Set added charges"))</x:f>
      </x:c>
      <x:c r="O9" s="9"/>
      <x:c r="P9" s="20"/>
      <x:c r="Q9" s="20"/>
      <x:c r="R9" s="19"/>
      <x:c r="S9" s="19"/>
      <x:c r="T9" s="14" t="str">
        <x:f>IF(A9="","",P9-Q9)</x:f>
      </x:c>
      <x:c r="U9" s="13" t="str">
        <x:f>IF(A9="","",COUNTIFS('Attendees'!$B$6:$B$205,A9,'Attendees'!$A$6:$A$205,"&lt;&gt;"))</x:f>
      </x:c>
      <x:c r="V9" s="13" t="str">
        <x:f>IF(A9="","",COUNTIFS('Attendees'!$B$6:$B$205,A9,'Attendees'!$F$6:$F$205,"Non-alcoholic",'Attendees'!$A$6:$A$205,"&lt;&gt;"))</x:f>
      </x:c>
      <x:c r="W9" s="13" t="str">
        <x:f>IF(A9="","",COUNTIFS('Attendees'!$B$6:$B$205,A9,'Attendees'!$F$6:$F$205,"Alcohol-inclusive",'Attendees'!$A$6:$A$205,"&lt;&gt;"))</x:f>
      </x:c>
      <x:c r="X9" s="9"/>
      <x:c r="Y9" s="13" t="str">
        <x:f>IF(A9="","",IF(COUNTIFS($A$6:$A$205,A9)&gt;1,"Duplicate booking ID",IF(OR(I9&lt;1,I9&gt;'Dashboard'!$E$10,G9&lt;0,H9&lt;0,G9&lt;&gt;INT(G9),H9&lt;&gt;INT(H9)),"Use 1–5 whole passes",IF(OR(C9="",E9="",F9=""),"Complete buyer name, phone and email",IF(NOT(ISNUMBER(M9)),"Set added charges (0 if none)",IF(AND(S9&lt;&gt;"",COUNTIFS($S$6:$S$205,S9)&gt;1),"Duplicate payment ID",IF(AND(O9="Confirmed",OR(P9&lt;&gt;N9,S9="")),"Verify full payment + payment ID",IF(OR(U9&lt;&gt;I9,V9&lt;&gt;G9,W9&lt;&gt;H9),"Complete matching attendee details",""))))))))</x:f>
      </x:c>
    </x:row>
    <x:row r="10" ht="22" customHeight="1">
      <x:c r="A10" s="9"/>
      <x:c r="B10" s="18"/>
      <x:c r="C10" s="9"/>
      <x:c r="D10" s="9"/>
      <x:c r="E10" s="19"/>
      <x:c r="F10" s="19"/>
      <x:c r="G10" s="9"/>
      <x:c r="H10" s="9"/>
      <x:c r="I10" s="13" t="str">
        <x:f>IF(A10="","",SUM(G10:H10))</x:f>
      </x:c>
      <x:c r="J10" s="20" t="n">
        <x:v>2999</x:v>
      </x:c>
      <x:c r="K10" s="20" t="n">
        <x:v>3999</x:v>
      </x:c>
      <x:c r="L10" s="14" t="str">
        <x:f>IF(A10="","",G10*J10+H10*K10)</x:f>
      </x:c>
      <x:c r="M10" s="20"/>
      <x:c r="N10" s="14" t="str">
        <x:f>IF(A10="","",IF(ISNUMBER(M10),ROUND(L10+M10,2),"Set added charges"))</x:f>
      </x:c>
      <x:c r="O10" s="9"/>
      <x:c r="P10" s="20"/>
      <x:c r="Q10" s="20"/>
      <x:c r="R10" s="19"/>
      <x:c r="S10" s="19"/>
      <x:c r="T10" s="14" t="str">
        <x:f>IF(A10="","",P10-Q10)</x:f>
      </x:c>
      <x:c r="U10" s="13" t="str">
        <x:f>IF(A10="","",COUNTIFS('Attendees'!$B$6:$B$205,A10,'Attendees'!$A$6:$A$205,"&lt;&gt;"))</x:f>
      </x:c>
      <x:c r="V10" s="13" t="str">
        <x:f>IF(A10="","",COUNTIFS('Attendees'!$B$6:$B$205,A10,'Attendees'!$F$6:$F$205,"Non-alcoholic",'Attendees'!$A$6:$A$205,"&lt;&gt;"))</x:f>
      </x:c>
      <x:c r="W10" s="13" t="str">
        <x:f>IF(A10="","",COUNTIFS('Attendees'!$B$6:$B$205,A10,'Attendees'!$F$6:$F$205,"Alcohol-inclusive",'Attendees'!$A$6:$A$205,"&lt;&gt;"))</x:f>
      </x:c>
      <x:c r="X10" s="9"/>
      <x:c r="Y10" s="13" t="str">
        <x:f>IF(A10="","",IF(COUNTIFS($A$6:$A$205,A10)&gt;1,"Duplicate booking ID",IF(OR(I10&lt;1,I10&gt;'Dashboard'!$E$10,G10&lt;0,H10&lt;0,G10&lt;&gt;INT(G10),H10&lt;&gt;INT(H10)),"Use 1–5 whole passes",IF(OR(C10="",E10="",F10=""),"Complete buyer name, phone and email",IF(NOT(ISNUMBER(M10)),"Set added charges (0 if none)",IF(AND(S10&lt;&gt;"",COUNTIFS($S$6:$S$205,S10)&gt;1),"Duplicate payment ID",IF(AND(O10="Confirmed",OR(P10&lt;&gt;N10,S10="")),"Verify full payment + payment ID",IF(OR(U10&lt;&gt;I10,V10&lt;&gt;G10,W10&lt;&gt;H10),"Complete matching attendee details",""))))))))</x:f>
      </x:c>
    </x:row>
    <x:row r="11" ht="22" customHeight="1">
      <x:c r="A11" s="9"/>
      <x:c r="B11" s="18"/>
      <x:c r="C11" s="9"/>
      <x:c r="D11" s="9"/>
      <x:c r="E11" s="19"/>
      <x:c r="F11" s="19"/>
      <x:c r="G11" s="9"/>
      <x:c r="H11" s="9"/>
      <x:c r="I11" s="13" t="str">
        <x:f>IF(A11="","",SUM(G11:H11))</x:f>
      </x:c>
      <x:c r="J11" s="20" t="n">
        <x:v>2999</x:v>
      </x:c>
      <x:c r="K11" s="20" t="n">
        <x:v>3999</x:v>
      </x:c>
      <x:c r="L11" s="14" t="str">
        <x:f>IF(A11="","",G11*J11+H11*K11)</x:f>
      </x:c>
      <x:c r="M11" s="20"/>
      <x:c r="N11" s="14" t="str">
        <x:f>IF(A11="","",IF(ISNUMBER(M11),ROUND(L11+M11,2),"Set added charges"))</x:f>
      </x:c>
      <x:c r="O11" s="9"/>
      <x:c r="P11" s="20"/>
      <x:c r="Q11" s="20"/>
      <x:c r="R11" s="19"/>
      <x:c r="S11" s="19"/>
      <x:c r="T11" s="14" t="str">
        <x:f>IF(A11="","",P11-Q11)</x:f>
      </x:c>
      <x:c r="U11" s="13" t="str">
        <x:f>IF(A11="","",COUNTIFS('Attendees'!$B$6:$B$205,A11,'Attendees'!$A$6:$A$205,"&lt;&gt;"))</x:f>
      </x:c>
      <x:c r="V11" s="13" t="str">
        <x:f>IF(A11="","",COUNTIFS('Attendees'!$B$6:$B$205,A11,'Attendees'!$F$6:$F$205,"Non-alcoholic",'Attendees'!$A$6:$A$205,"&lt;&gt;"))</x:f>
      </x:c>
      <x:c r="W11" s="13" t="str">
        <x:f>IF(A11="","",COUNTIFS('Attendees'!$B$6:$B$205,A11,'Attendees'!$F$6:$F$205,"Alcohol-inclusive",'Attendees'!$A$6:$A$205,"&lt;&gt;"))</x:f>
      </x:c>
      <x:c r="X11" s="9"/>
      <x:c r="Y11" s="13" t="str">
        <x:f>IF(A11="","",IF(COUNTIFS($A$6:$A$205,A11)&gt;1,"Duplicate booking ID",IF(OR(I11&lt;1,I11&gt;'Dashboard'!$E$10,G11&lt;0,H11&lt;0,G11&lt;&gt;INT(G11),H11&lt;&gt;INT(H11)),"Use 1–5 whole passes",IF(OR(C11="",E11="",F11=""),"Complete buyer name, phone and email",IF(NOT(ISNUMBER(M11)),"Set added charges (0 if none)",IF(AND(S11&lt;&gt;"",COUNTIFS($S$6:$S$205,S11)&gt;1),"Duplicate payment ID",IF(AND(O11="Confirmed",OR(P11&lt;&gt;N11,S11="")),"Verify full payment + payment ID",IF(OR(U11&lt;&gt;I11,V11&lt;&gt;G11,W11&lt;&gt;H11),"Complete matching attendee details",""))))))))</x:f>
      </x:c>
    </x:row>
    <x:row r="12" ht="22" customHeight="1">
      <x:c r="A12" s="9"/>
      <x:c r="B12" s="18"/>
      <x:c r="C12" s="9"/>
      <x:c r="D12" s="9"/>
      <x:c r="E12" s="19"/>
      <x:c r="F12" s="19"/>
      <x:c r="G12" s="9"/>
      <x:c r="H12" s="9"/>
      <x:c r="I12" s="13" t="str">
        <x:f>IF(A12="","",SUM(G12:H12))</x:f>
      </x:c>
      <x:c r="J12" s="20" t="n">
        <x:v>2999</x:v>
      </x:c>
      <x:c r="K12" s="20" t="n">
        <x:v>3999</x:v>
      </x:c>
      <x:c r="L12" s="14" t="str">
        <x:f>IF(A12="","",G12*J12+H12*K12)</x:f>
      </x:c>
      <x:c r="M12" s="20"/>
      <x:c r="N12" s="14" t="str">
        <x:f>IF(A12="","",IF(ISNUMBER(M12),ROUND(L12+M12,2),"Set added charges"))</x:f>
      </x:c>
      <x:c r="O12" s="9"/>
      <x:c r="P12" s="20"/>
      <x:c r="Q12" s="20"/>
      <x:c r="R12" s="19"/>
      <x:c r="S12" s="19"/>
      <x:c r="T12" s="14" t="str">
        <x:f>IF(A12="","",P12-Q12)</x:f>
      </x:c>
      <x:c r="U12" s="13" t="str">
        <x:f>IF(A12="","",COUNTIFS('Attendees'!$B$6:$B$205,A12,'Attendees'!$A$6:$A$205,"&lt;&gt;"))</x:f>
      </x:c>
      <x:c r="V12" s="13" t="str">
        <x:f>IF(A12="","",COUNTIFS('Attendees'!$B$6:$B$205,A12,'Attendees'!$F$6:$F$205,"Non-alcoholic",'Attendees'!$A$6:$A$205,"&lt;&gt;"))</x:f>
      </x:c>
      <x:c r="W12" s="13" t="str">
        <x:f>IF(A12="","",COUNTIFS('Attendees'!$B$6:$B$205,A12,'Attendees'!$F$6:$F$205,"Alcohol-inclusive",'Attendees'!$A$6:$A$205,"&lt;&gt;"))</x:f>
      </x:c>
      <x:c r="X12" s="9"/>
      <x:c r="Y12" s="13" t="str">
        <x:f>IF(A12="","",IF(COUNTIFS($A$6:$A$205,A12)&gt;1,"Duplicate booking ID",IF(OR(I12&lt;1,I12&gt;'Dashboard'!$E$10,G12&lt;0,H12&lt;0,G12&lt;&gt;INT(G12),H12&lt;&gt;INT(H12)),"Use 1–5 whole passes",IF(OR(C12="",E12="",F12=""),"Complete buyer name, phone and email",IF(NOT(ISNUMBER(M12)),"Set added charges (0 if none)",IF(AND(S12&lt;&gt;"",COUNTIFS($S$6:$S$205,S12)&gt;1),"Duplicate payment ID",IF(AND(O12="Confirmed",OR(P12&lt;&gt;N12,S12="")),"Verify full payment + payment ID",IF(OR(U12&lt;&gt;I12,V12&lt;&gt;G12,W12&lt;&gt;H12),"Complete matching attendee details",""))))))))</x:f>
      </x:c>
    </x:row>
    <x:row r="13" ht="22" customHeight="1">
      <x:c r="A13" s="9"/>
      <x:c r="B13" s="18"/>
      <x:c r="C13" s="9"/>
      <x:c r="D13" s="9"/>
      <x:c r="E13" s="19"/>
      <x:c r="F13" s="19"/>
      <x:c r="G13" s="9"/>
      <x:c r="H13" s="9"/>
      <x:c r="I13" s="13" t="str">
        <x:f>IF(A13="","",SUM(G13:H13))</x:f>
      </x:c>
      <x:c r="J13" s="20" t="n">
        <x:v>2999</x:v>
      </x:c>
      <x:c r="K13" s="20" t="n">
        <x:v>3999</x:v>
      </x:c>
      <x:c r="L13" s="14" t="str">
        <x:f>IF(A13="","",G13*J13+H13*K13)</x:f>
      </x:c>
      <x:c r="M13" s="20"/>
      <x:c r="N13" s="14" t="str">
        <x:f>IF(A13="","",IF(ISNUMBER(M13),ROUND(L13+M13,2),"Set added charges"))</x:f>
      </x:c>
      <x:c r="O13" s="9"/>
      <x:c r="P13" s="20"/>
      <x:c r="Q13" s="20"/>
      <x:c r="R13" s="19"/>
      <x:c r="S13" s="19"/>
      <x:c r="T13" s="14" t="str">
        <x:f>IF(A13="","",P13-Q13)</x:f>
      </x:c>
      <x:c r="U13" s="13" t="str">
        <x:f>IF(A13="","",COUNTIFS('Attendees'!$B$6:$B$205,A13,'Attendees'!$A$6:$A$205,"&lt;&gt;"))</x:f>
      </x:c>
      <x:c r="V13" s="13" t="str">
        <x:f>IF(A13="","",COUNTIFS('Attendees'!$B$6:$B$205,A13,'Attendees'!$F$6:$F$205,"Non-alcoholic",'Attendees'!$A$6:$A$205,"&lt;&gt;"))</x:f>
      </x:c>
      <x:c r="W13" s="13" t="str">
        <x:f>IF(A13="","",COUNTIFS('Attendees'!$B$6:$B$205,A13,'Attendees'!$F$6:$F$205,"Alcohol-inclusive",'Attendees'!$A$6:$A$205,"&lt;&gt;"))</x:f>
      </x:c>
      <x:c r="X13" s="9"/>
      <x:c r="Y13" s="13" t="str">
        <x:f>IF(A13="","",IF(COUNTIFS($A$6:$A$205,A13)&gt;1,"Duplicate booking ID",IF(OR(I13&lt;1,I13&gt;'Dashboard'!$E$10,G13&lt;0,H13&lt;0,G13&lt;&gt;INT(G13),H13&lt;&gt;INT(H13)),"Use 1–5 whole passes",IF(OR(C13="",E13="",F13=""),"Complete buyer name, phone and email",IF(NOT(ISNUMBER(M13)),"Set added charges (0 if none)",IF(AND(S13&lt;&gt;"",COUNTIFS($S$6:$S$205,S13)&gt;1),"Duplicate payment ID",IF(AND(O13="Confirmed",OR(P13&lt;&gt;N13,S13="")),"Verify full payment + payment ID",IF(OR(U13&lt;&gt;I13,V13&lt;&gt;G13,W13&lt;&gt;H13),"Complete matching attendee details",""))))))))</x:f>
      </x:c>
    </x:row>
    <x:row r="14" ht="22" customHeight="1">
      <x:c r="A14" s="9"/>
      <x:c r="B14" s="18"/>
      <x:c r="C14" s="9"/>
      <x:c r="D14" s="9"/>
      <x:c r="E14" s="19"/>
      <x:c r="F14" s="19"/>
      <x:c r="G14" s="9"/>
      <x:c r="H14" s="9"/>
      <x:c r="I14" s="13" t="str">
        <x:f>IF(A14="","",SUM(G14:H14))</x:f>
      </x:c>
      <x:c r="J14" s="20" t="n">
        <x:v>2999</x:v>
      </x:c>
      <x:c r="K14" s="20" t="n">
        <x:v>3999</x:v>
      </x:c>
      <x:c r="L14" s="14" t="str">
        <x:f>IF(A14="","",G14*J14+H14*K14)</x:f>
      </x:c>
      <x:c r="M14" s="20"/>
      <x:c r="N14" s="14" t="str">
        <x:f>IF(A14="","",IF(ISNUMBER(M14),ROUND(L14+M14,2),"Set added charges"))</x:f>
      </x:c>
      <x:c r="O14" s="9"/>
      <x:c r="P14" s="20"/>
      <x:c r="Q14" s="20"/>
      <x:c r="R14" s="19"/>
      <x:c r="S14" s="19"/>
      <x:c r="T14" s="14" t="str">
        <x:f>IF(A14="","",P14-Q14)</x:f>
      </x:c>
      <x:c r="U14" s="13" t="str">
        <x:f>IF(A14="","",COUNTIFS('Attendees'!$B$6:$B$205,A14,'Attendees'!$A$6:$A$205,"&lt;&gt;"))</x:f>
      </x:c>
      <x:c r="V14" s="13" t="str">
        <x:f>IF(A14="","",COUNTIFS('Attendees'!$B$6:$B$205,A14,'Attendees'!$F$6:$F$205,"Non-alcoholic",'Attendees'!$A$6:$A$205,"&lt;&gt;"))</x:f>
      </x:c>
      <x:c r="W14" s="13" t="str">
        <x:f>IF(A14="","",COUNTIFS('Attendees'!$B$6:$B$205,A14,'Attendees'!$F$6:$F$205,"Alcohol-inclusive",'Attendees'!$A$6:$A$205,"&lt;&gt;"))</x:f>
      </x:c>
      <x:c r="X14" s="9"/>
      <x:c r="Y14" s="13" t="str">
        <x:f>IF(A14="","",IF(COUNTIFS($A$6:$A$205,A14)&gt;1,"Duplicate booking ID",IF(OR(I14&lt;1,I14&gt;'Dashboard'!$E$10,G14&lt;0,H14&lt;0,G14&lt;&gt;INT(G14),H14&lt;&gt;INT(H14)),"Use 1–5 whole passes",IF(OR(C14="",E14="",F14=""),"Complete buyer name, phone and email",IF(NOT(ISNUMBER(M14)),"Set added charges (0 if none)",IF(AND(S14&lt;&gt;"",COUNTIFS($S$6:$S$205,S14)&gt;1),"Duplicate payment ID",IF(AND(O14="Confirmed",OR(P14&lt;&gt;N14,S14="")),"Verify full payment + payment ID",IF(OR(U14&lt;&gt;I14,V14&lt;&gt;G14,W14&lt;&gt;H14),"Complete matching attendee details",""))))))))</x:f>
      </x:c>
    </x:row>
    <x:row r="15" ht="22" customHeight="1">
      <x:c r="A15" s="9"/>
      <x:c r="B15" s="18"/>
      <x:c r="C15" s="9"/>
      <x:c r="D15" s="9"/>
      <x:c r="E15" s="19"/>
      <x:c r="F15" s="19"/>
      <x:c r="G15" s="9"/>
      <x:c r="H15" s="9"/>
      <x:c r="I15" s="13" t="str">
        <x:f>IF(A15="","",SUM(G15:H15))</x:f>
      </x:c>
      <x:c r="J15" s="20" t="n">
        <x:v>2999</x:v>
      </x:c>
      <x:c r="K15" s="20" t="n">
        <x:v>3999</x:v>
      </x:c>
      <x:c r="L15" s="14" t="str">
        <x:f>IF(A15="","",G15*J15+H15*K15)</x:f>
      </x:c>
      <x:c r="M15" s="20"/>
      <x:c r="N15" s="14" t="str">
        <x:f>IF(A15="","",IF(ISNUMBER(M15),ROUND(L15+M15,2),"Set added charges"))</x:f>
      </x:c>
      <x:c r="O15" s="9"/>
      <x:c r="P15" s="20"/>
      <x:c r="Q15" s="20"/>
      <x:c r="R15" s="19"/>
      <x:c r="S15" s="19"/>
      <x:c r="T15" s="14" t="str">
        <x:f>IF(A15="","",P15-Q15)</x:f>
      </x:c>
      <x:c r="U15" s="13" t="str">
        <x:f>IF(A15="","",COUNTIFS('Attendees'!$B$6:$B$205,A15,'Attendees'!$A$6:$A$205,"&lt;&gt;"))</x:f>
      </x:c>
      <x:c r="V15" s="13" t="str">
        <x:f>IF(A15="","",COUNTIFS('Attendees'!$B$6:$B$205,A15,'Attendees'!$F$6:$F$205,"Non-alcoholic",'Attendees'!$A$6:$A$205,"&lt;&gt;"))</x:f>
      </x:c>
      <x:c r="W15" s="13" t="str">
        <x:f>IF(A15="","",COUNTIFS('Attendees'!$B$6:$B$205,A15,'Attendees'!$F$6:$F$205,"Alcohol-inclusive",'Attendees'!$A$6:$A$205,"&lt;&gt;"))</x:f>
      </x:c>
      <x:c r="X15" s="9"/>
      <x:c r="Y15" s="13" t="str">
        <x:f>IF(A15="","",IF(COUNTIFS($A$6:$A$205,A15)&gt;1,"Duplicate booking ID",IF(OR(I15&lt;1,I15&gt;'Dashboard'!$E$10,G15&lt;0,H15&lt;0,G15&lt;&gt;INT(G15),H15&lt;&gt;INT(H15)),"Use 1–5 whole passes",IF(OR(C15="",E15="",F15=""),"Complete buyer name, phone and email",IF(NOT(ISNUMBER(M15)),"Set added charges (0 if none)",IF(AND(S15&lt;&gt;"",COUNTIFS($S$6:$S$205,S15)&gt;1),"Duplicate payment ID",IF(AND(O15="Confirmed",OR(P15&lt;&gt;N15,S15="")),"Verify full payment + payment ID",IF(OR(U15&lt;&gt;I15,V15&lt;&gt;G15,W15&lt;&gt;H15),"Complete matching attendee details",""))))))))</x:f>
      </x:c>
    </x:row>
    <x:row r="16" ht="22" customHeight="1">
      <x:c r="A16" s="9"/>
      <x:c r="B16" s="18"/>
      <x:c r="C16" s="9"/>
      <x:c r="D16" s="9"/>
      <x:c r="E16" s="19"/>
      <x:c r="F16" s="19"/>
      <x:c r="G16" s="9"/>
      <x:c r="H16" s="9"/>
      <x:c r="I16" s="13" t="str">
        <x:f>IF(A16="","",SUM(G16:H16))</x:f>
      </x:c>
      <x:c r="J16" s="20" t="n">
        <x:v>2999</x:v>
      </x:c>
      <x:c r="K16" s="20" t="n">
        <x:v>3999</x:v>
      </x:c>
      <x:c r="L16" s="14" t="str">
        <x:f>IF(A16="","",G16*J16+H16*K16)</x:f>
      </x:c>
      <x:c r="M16" s="20"/>
      <x:c r="N16" s="14" t="str">
        <x:f>IF(A16="","",IF(ISNUMBER(M16),ROUND(L16+M16,2),"Set added charges"))</x:f>
      </x:c>
      <x:c r="O16" s="9"/>
      <x:c r="P16" s="20"/>
      <x:c r="Q16" s="20"/>
      <x:c r="R16" s="19"/>
      <x:c r="S16" s="19"/>
      <x:c r="T16" s="14" t="str">
        <x:f>IF(A16="","",P16-Q16)</x:f>
      </x:c>
      <x:c r="U16" s="13" t="str">
        <x:f>IF(A16="","",COUNTIFS('Attendees'!$B$6:$B$205,A16,'Attendees'!$A$6:$A$205,"&lt;&gt;"))</x:f>
      </x:c>
      <x:c r="V16" s="13" t="str">
        <x:f>IF(A16="","",COUNTIFS('Attendees'!$B$6:$B$205,A16,'Attendees'!$F$6:$F$205,"Non-alcoholic",'Attendees'!$A$6:$A$205,"&lt;&gt;"))</x:f>
      </x:c>
      <x:c r="W16" s="13" t="str">
        <x:f>IF(A16="","",COUNTIFS('Attendees'!$B$6:$B$205,A16,'Attendees'!$F$6:$F$205,"Alcohol-inclusive",'Attendees'!$A$6:$A$205,"&lt;&gt;"))</x:f>
      </x:c>
      <x:c r="X16" s="9"/>
      <x:c r="Y16" s="13" t="str">
        <x:f>IF(A16="","",IF(COUNTIFS($A$6:$A$205,A16)&gt;1,"Duplicate booking ID",IF(OR(I16&lt;1,I16&gt;'Dashboard'!$E$10,G16&lt;0,H16&lt;0,G16&lt;&gt;INT(G16),H16&lt;&gt;INT(H16)),"Use 1–5 whole passes",IF(OR(C16="",E16="",F16=""),"Complete buyer name, phone and email",IF(NOT(ISNUMBER(M16)),"Set added charges (0 if none)",IF(AND(S16&lt;&gt;"",COUNTIFS($S$6:$S$205,S16)&gt;1),"Duplicate payment ID",IF(AND(O16="Confirmed",OR(P16&lt;&gt;N16,S16="")),"Verify full payment + payment ID",IF(OR(U16&lt;&gt;I16,V16&lt;&gt;G16,W16&lt;&gt;H16),"Complete matching attendee details",""))))))))</x:f>
      </x:c>
    </x:row>
    <x:row r="17" ht="22" customHeight="1">
      <x:c r="A17" s="9"/>
      <x:c r="B17" s="18"/>
      <x:c r="C17" s="9"/>
      <x:c r="D17" s="9"/>
      <x:c r="E17" s="19"/>
      <x:c r="F17" s="19"/>
      <x:c r="G17" s="9"/>
      <x:c r="H17" s="9"/>
      <x:c r="I17" s="13" t="str">
        <x:f>IF(A17="","",SUM(G17:H17))</x:f>
      </x:c>
      <x:c r="J17" s="20" t="n">
        <x:v>2999</x:v>
      </x:c>
      <x:c r="K17" s="20" t="n">
        <x:v>3999</x:v>
      </x:c>
      <x:c r="L17" s="14" t="str">
        <x:f>IF(A17="","",G17*J17+H17*K17)</x:f>
      </x:c>
      <x:c r="M17" s="20"/>
      <x:c r="N17" s="14" t="str">
        <x:f>IF(A17="","",IF(ISNUMBER(M17),ROUND(L17+M17,2),"Set added charges"))</x:f>
      </x:c>
      <x:c r="O17" s="9"/>
      <x:c r="P17" s="20"/>
      <x:c r="Q17" s="20"/>
      <x:c r="R17" s="19"/>
      <x:c r="S17" s="19"/>
      <x:c r="T17" s="14" t="str">
        <x:f>IF(A17="","",P17-Q17)</x:f>
      </x:c>
      <x:c r="U17" s="13" t="str">
        <x:f>IF(A17="","",COUNTIFS('Attendees'!$B$6:$B$205,A17,'Attendees'!$A$6:$A$205,"&lt;&gt;"))</x:f>
      </x:c>
      <x:c r="V17" s="13" t="str">
        <x:f>IF(A17="","",COUNTIFS('Attendees'!$B$6:$B$205,A17,'Attendees'!$F$6:$F$205,"Non-alcoholic",'Attendees'!$A$6:$A$205,"&lt;&gt;"))</x:f>
      </x:c>
      <x:c r="W17" s="13" t="str">
        <x:f>IF(A17="","",COUNTIFS('Attendees'!$B$6:$B$205,A17,'Attendees'!$F$6:$F$205,"Alcohol-inclusive",'Attendees'!$A$6:$A$205,"&lt;&gt;"))</x:f>
      </x:c>
      <x:c r="X17" s="9"/>
      <x:c r="Y17" s="13" t="str">
        <x:f>IF(A17="","",IF(COUNTIFS($A$6:$A$205,A17)&gt;1,"Duplicate booking ID",IF(OR(I17&lt;1,I17&gt;'Dashboard'!$E$10,G17&lt;0,H17&lt;0,G17&lt;&gt;INT(G17),H17&lt;&gt;INT(H17)),"Use 1–5 whole passes",IF(OR(C17="",E17="",F17=""),"Complete buyer name, phone and email",IF(NOT(ISNUMBER(M17)),"Set added charges (0 if none)",IF(AND(S17&lt;&gt;"",COUNTIFS($S$6:$S$205,S17)&gt;1),"Duplicate payment ID",IF(AND(O17="Confirmed",OR(P17&lt;&gt;N17,S17="")),"Verify full payment + payment ID",IF(OR(U17&lt;&gt;I17,V17&lt;&gt;G17,W17&lt;&gt;H17),"Complete matching attendee details",""))))))))</x:f>
      </x:c>
    </x:row>
    <x:row r="18" ht="22" customHeight="1">
      <x:c r="A18" s="9"/>
      <x:c r="B18" s="18"/>
      <x:c r="C18" s="9"/>
      <x:c r="D18" s="9"/>
      <x:c r="E18" s="19"/>
      <x:c r="F18" s="19"/>
      <x:c r="G18" s="9"/>
      <x:c r="H18" s="9"/>
      <x:c r="I18" s="13" t="str">
        <x:f>IF(A18="","",SUM(G18:H18))</x:f>
      </x:c>
      <x:c r="J18" s="20" t="n">
        <x:v>2999</x:v>
      </x:c>
      <x:c r="K18" s="20" t="n">
        <x:v>3999</x:v>
      </x:c>
      <x:c r="L18" s="14" t="str">
        <x:f>IF(A18="","",G18*J18+H18*K18)</x:f>
      </x:c>
      <x:c r="M18" s="20"/>
      <x:c r="N18" s="14" t="str">
        <x:f>IF(A18="","",IF(ISNUMBER(M18),ROUND(L18+M18,2),"Set added charges"))</x:f>
      </x:c>
      <x:c r="O18" s="9"/>
      <x:c r="P18" s="20"/>
      <x:c r="Q18" s="20"/>
      <x:c r="R18" s="19"/>
      <x:c r="S18" s="19"/>
      <x:c r="T18" s="14" t="str">
        <x:f>IF(A18="","",P18-Q18)</x:f>
      </x:c>
      <x:c r="U18" s="13" t="str">
        <x:f>IF(A18="","",COUNTIFS('Attendees'!$B$6:$B$205,A18,'Attendees'!$A$6:$A$205,"&lt;&gt;"))</x:f>
      </x:c>
      <x:c r="V18" s="13" t="str">
        <x:f>IF(A18="","",COUNTIFS('Attendees'!$B$6:$B$205,A18,'Attendees'!$F$6:$F$205,"Non-alcoholic",'Attendees'!$A$6:$A$205,"&lt;&gt;"))</x:f>
      </x:c>
      <x:c r="W18" s="13" t="str">
        <x:f>IF(A18="","",COUNTIFS('Attendees'!$B$6:$B$205,A18,'Attendees'!$F$6:$F$205,"Alcohol-inclusive",'Attendees'!$A$6:$A$205,"&lt;&gt;"))</x:f>
      </x:c>
      <x:c r="X18" s="9"/>
      <x:c r="Y18" s="13" t="str">
        <x:f>IF(A18="","",IF(COUNTIFS($A$6:$A$205,A18)&gt;1,"Duplicate booking ID",IF(OR(I18&lt;1,I18&gt;'Dashboard'!$E$10,G18&lt;0,H18&lt;0,G18&lt;&gt;INT(G18),H18&lt;&gt;INT(H18)),"Use 1–5 whole passes",IF(OR(C18="",E18="",F18=""),"Complete buyer name, phone and email",IF(NOT(ISNUMBER(M18)),"Set added charges (0 if none)",IF(AND(S18&lt;&gt;"",COUNTIFS($S$6:$S$205,S18)&gt;1),"Duplicate payment ID",IF(AND(O18="Confirmed",OR(P18&lt;&gt;N18,S18="")),"Verify full payment + payment ID",IF(OR(U18&lt;&gt;I18,V18&lt;&gt;G18,W18&lt;&gt;H18),"Complete matching attendee details",""))))))))</x:f>
      </x:c>
    </x:row>
    <x:row r="19" ht="22" customHeight="1">
      <x:c r="A19" s="9"/>
      <x:c r="B19" s="18"/>
      <x:c r="C19" s="9"/>
      <x:c r="D19" s="9"/>
      <x:c r="E19" s="19"/>
      <x:c r="F19" s="19"/>
      <x:c r="G19" s="9"/>
      <x:c r="H19" s="9"/>
      <x:c r="I19" s="13" t="str">
        <x:f>IF(A19="","",SUM(G19:H19))</x:f>
      </x:c>
      <x:c r="J19" s="20" t="n">
        <x:v>2999</x:v>
      </x:c>
      <x:c r="K19" s="20" t="n">
        <x:v>3999</x:v>
      </x:c>
      <x:c r="L19" s="14" t="str">
        <x:f>IF(A19="","",G19*J19+H19*K19)</x:f>
      </x:c>
      <x:c r="M19" s="20"/>
      <x:c r="N19" s="14" t="str">
        <x:f>IF(A19="","",IF(ISNUMBER(M19),ROUND(L19+M19,2),"Set added charges"))</x:f>
      </x:c>
      <x:c r="O19" s="9"/>
      <x:c r="P19" s="20"/>
      <x:c r="Q19" s="20"/>
      <x:c r="R19" s="19"/>
      <x:c r="S19" s="19"/>
      <x:c r="T19" s="14" t="str">
        <x:f>IF(A19="","",P19-Q19)</x:f>
      </x:c>
      <x:c r="U19" s="13" t="str">
        <x:f>IF(A19="","",COUNTIFS('Attendees'!$B$6:$B$205,A19,'Attendees'!$A$6:$A$205,"&lt;&gt;"))</x:f>
      </x:c>
      <x:c r="V19" s="13" t="str">
        <x:f>IF(A19="","",COUNTIFS('Attendees'!$B$6:$B$205,A19,'Attendees'!$F$6:$F$205,"Non-alcoholic",'Attendees'!$A$6:$A$205,"&lt;&gt;"))</x:f>
      </x:c>
      <x:c r="W19" s="13" t="str">
        <x:f>IF(A19="","",COUNTIFS('Attendees'!$B$6:$B$205,A19,'Attendees'!$F$6:$F$205,"Alcohol-inclusive",'Attendees'!$A$6:$A$205,"&lt;&gt;"))</x:f>
      </x:c>
      <x:c r="X19" s="9"/>
      <x:c r="Y19" s="13" t="str">
        <x:f>IF(A19="","",IF(COUNTIFS($A$6:$A$205,A19)&gt;1,"Duplicate booking ID",IF(OR(I19&lt;1,I19&gt;'Dashboard'!$E$10,G19&lt;0,H19&lt;0,G19&lt;&gt;INT(G19),H19&lt;&gt;INT(H19)),"Use 1–5 whole passes",IF(OR(C19="",E19="",F19=""),"Complete buyer name, phone and email",IF(NOT(ISNUMBER(M19)),"Set added charges (0 if none)",IF(AND(S19&lt;&gt;"",COUNTIFS($S$6:$S$205,S19)&gt;1),"Duplicate payment ID",IF(AND(O19="Confirmed",OR(P19&lt;&gt;N19,S19="")),"Verify full payment + payment ID",IF(OR(U19&lt;&gt;I19,V19&lt;&gt;G19,W19&lt;&gt;H19),"Complete matching attendee details",""))))))))</x:f>
      </x:c>
    </x:row>
    <x:row r="20" ht="22" customHeight="1">
      <x:c r="A20" s="9"/>
      <x:c r="B20" s="18"/>
      <x:c r="C20" s="9"/>
      <x:c r="D20" s="9"/>
      <x:c r="E20" s="19"/>
      <x:c r="F20" s="19"/>
      <x:c r="G20" s="9"/>
      <x:c r="H20" s="9"/>
      <x:c r="I20" s="13" t="str">
        <x:f>IF(A20="","",SUM(G20:H20))</x:f>
      </x:c>
      <x:c r="J20" s="20" t="n">
        <x:v>2999</x:v>
      </x:c>
      <x:c r="K20" s="20" t="n">
        <x:v>3999</x:v>
      </x:c>
      <x:c r="L20" s="14" t="str">
        <x:f>IF(A20="","",G20*J20+H20*K20)</x:f>
      </x:c>
      <x:c r="M20" s="20"/>
      <x:c r="N20" s="14" t="str">
        <x:f>IF(A20="","",IF(ISNUMBER(M20),ROUND(L20+M20,2),"Set added charges"))</x:f>
      </x:c>
      <x:c r="O20" s="9"/>
      <x:c r="P20" s="20"/>
      <x:c r="Q20" s="20"/>
      <x:c r="R20" s="19"/>
      <x:c r="S20" s="19"/>
      <x:c r="T20" s="14" t="str">
        <x:f>IF(A20="","",P20-Q20)</x:f>
      </x:c>
      <x:c r="U20" s="13" t="str">
        <x:f>IF(A20="","",COUNTIFS('Attendees'!$B$6:$B$205,A20,'Attendees'!$A$6:$A$205,"&lt;&gt;"))</x:f>
      </x:c>
      <x:c r="V20" s="13" t="str">
        <x:f>IF(A20="","",COUNTIFS('Attendees'!$B$6:$B$205,A20,'Attendees'!$F$6:$F$205,"Non-alcoholic",'Attendees'!$A$6:$A$205,"&lt;&gt;"))</x:f>
      </x:c>
      <x:c r="W20" s="13" t="str">
        <x:f>IF(A20="","",COUNTIFS('Attendees'!$B$6:$B$205,A20,'Attendees'!$F$6:$F$205,"Alcohol-inclusive",'Attendees'!$A$6:$A$205,"&lt;&gt;"))</x:f>
      </x:c>
      <x:c r="X20" s="9"/>
      <x:c r="Y20" s="13" t="str">
        <x:f>IF(A20="","",IF(COUNTIFS($A$6:$A$205,A20)&gt;1,"Duplicate booking ID",IF(OR(I20&lt;1,I20&gt;'Dashboard'!$E$10,G20&lt;0,H20&lt;0,G20&lt;&gt;INT(G20),H20&lt;&gt;INT(H20)),"Use 1–5 whole passes",IF(OR(C20="",E20="",F20=""),"Complete buyer name, phone and email",IF(NOT(ISNUMBER(M20)),"Set added charges (0 if none)",IF(AND(S20&lt;&gt;"",COUNTIFS($S$6:$S$205,S20)&gt;1),"Duplicate payment ID",IF(AND(O20="Confirmed",OR(P20&lt;&gt;N20,S20="")),"Verify full payment + payment ID",IF(OR(U20&lt;&gt;I20,V20&lt;&gt;G20,W20&lt;&gt;H20),"Complete matching attendee details",""))))))))</x:f>
      </x:c>
    </x:row>
    <x:row r="21" ht="22" customHeight="1">
      <x:c r="A21" s="9"/>
      <x:c r="B21" s="18"/>
      <x:c r="C21" s="9"/>
      <x:c r="D21" s="9"/>
      <x:c r="E21" s="19"/>
      <x:c r="F21" s="19"/>
      <x:c r="G21" s="9"/>
      <x:c r="H21" s="9"/>
      <x:c r="I21" s="13" t="str">
        <x:f>IF(A21="","",SUM(G21:H21))</x:f>
      </x:c>
      <x:c r="J21" s="20" t="n">
        <x:v>2999</x:v>
      </x:c>
      <x:c r="K21" s="20" t="n">
        <x:v>3999</x:v>
      </x:c>
      <x:c r="L21" s="14" t="str">
        <x:f>IF(A21="","",G21*J21+H21*K21)</x:f>
      </x:c>
      <x:c r="M21" s="20"/>
      <x:c r="N21" s="14" t="str">
        <x:f>IF(A21="","",IF(ISNUMBER(M21),ROUND(L21+M21,2),"Set added charges"))</x:f>
      </x:c>
      <x:c r="O21" s="9"/>
      <x:c r="P21" s="20"/>
      <x:c r="Q21" s="20"/>
      <x:c r="R21" s="19"/>
      <x:c r="S21" s="19"/>
      <x:c r="T21" s="14" t="str">
        <x:f>IF(A21="","",P21-Q21)</x:f>
      </x:c>
      <x:c r="U21" s="13" t="str">
        <x:f>IF(A21="","",COUNTIFS('Attendees'!$B$6:$B$205,A21,'Attendees'!$A$6:$A$205,"&lt;&gt;"))</x:f>
      </x:c>
      <x:c r="V21" s="13" t="str">
        <x:f>IF(A21="","",COUNTIFS('Attendees'!$B$6:$B$205,A21,'Attendees'!$F$6:$F$205,"Non-alcoholic",'Attendees'!$A$6:$A$205,"&lt;&gt;"))</x:f>
      </x:c>
      <x:c r="W21" s="13" t="str">
        <x:f>IF(A21="","",COUNTIFS('Attendees'!$B$6:$B$205,A21,'Attendees'!$F$6:$F$205,"Alcohol-inclusive",'Attendees'!$A$6:$A$205,"&lt;&gt;"))</x:f>
      </x:c>
      <x:c r="X21" s="9"/>
      <x:c r="Y21" s="13" t="str">
        <x:f>IF(A21="","",IF(COUNTIFS($A$6:$A$205,A21)&gt;1,"Duplicate booking ID",IF(OR(I21&lt;1,I21&gt;'Dashboard'!$E$10,G21&lt;0,H21&lt;0,G21&lt;&gt;INT(G21),H21&lt;&gt;INT(H21)),"Use 1–5 whole passes",IF(OR(C21="",E21="",F21=""),"Complete buyer name, phone and email",IF(NOT(ISNUMBER(M21)),"Set added charges (0 if none)",IF(AND(S21&lt;&gt;"",COUNTIFS($S$6:$S$205,S21)&gt;1),"Duplicate payment ID",IF(AND(O21="Confirmed",OR(P21&lt;&gt;N21,S21="")),"Verify full payment + payment ID",IF(OR(U21&lt;&gt;I21,V21&lt;&gt;G21,W21&lt;&gt;H21),"Complete matching attendee details",""))))))))</x:f>
      </x:c>
    </x:row>
    <x:row r="22" ht="22" customHeight="1">
      <x:c r="A22" s="9"/>
      <x:c r="B22" s="18"/>
      <x:c r="C22" s="9"/>
      <x:c r="D22" s="9"/>
      <x:c r="E22" s="19"/>
      <x:c r="F22" s="19"/>
      <x:c r="G22" s="9"/>
      <x:c r="H22" s="9"/>
      <x:c r="I22" s="13" t="str">
        <x:f>IF(A22="","",SUM(G22:H22))</x:f>
      </x:c>
      <x:c r="J22" s="20" t="n">
        <x:v>2999</x:v>
      </x:c>
      <x:c r="K22" s="20" t="n">
        <x:v>3999</x:v>
      </x:c>
      <x:c r="L22" s="14" t="str">
        <x:f>IF(A22="","",G22*J22+H22*K22)</x:f>
      </x:c>
      <x:c r="M22" s="20"/>
      <x:c r="N22" s="14" t="str">
        <x:f>IF(A22="","",IF(ISNUMBER(M22),ROUND(L22+M22,2),"Set added charges"))</x:f>
      </x:c>
      <x:c r="O22" s="9"/>
      <x:c r="P22" s="20"/>
      <x:c r="Q22" s="20"/>
      <x:c r="R22" s="19"/>
      <x:c r="S22" s="19"/>
      <x:c r="T22" s="14" t="str">
        <x:f>IF(A22="","",P22-Q22)</x:f>
      </x:c>
      <x:c r="U22" s="13" t="str">
        <x:f>IF(A22="","",COUNTIFS('Attendees'!$B$6:$B$205,A22,'Attendees'!$A$6:$A$205,"&lt;&gt;"))</x:f>
      </x:c>
      <x:c r="V22" s="13" t="str">
        <x:f>IF(A22="","",COUNTIFS('Attendees'!$B$6:$B$205,A22,'Attendees'!$F$6:$F$205,"Non-alcoholic",'Attendees'!$A$6:$A$205,"&lt;&gt;"))</x:f>
      </x:c>
      <x:c r="W22" s="13" t="str">
        <x:f>IF(A22="","",COUNTIFS('Attendees'!$B$6:$B$205,A22,'Attendees'!$F$6:$F$205,"Alcohol-inclusive",'Attendees'!$A$6:$A$205,"&lt;&gt;"))</x:f>
      </x:c>
      <x:c r="X22" s="9"/>
      <x:c r="Y22" s="13" t="str">
        <x:f>IF(A22="","",IF(COUNTIFS($A$6:$A$205,A22)&gt;1,"Duplicate booking ID",IF(OR(I22&lt;1,I22&gt;'Dashboard'!$E$10,G22&lt;0,H22&lt;0,G22&lt;&gt;INT(G22),H22&lt;&gt;INT(H22)),"Use 1–5 whole passes",IF(OR(C22="",E22="",F22=""),"Complete buyer name, phone and email",IF(NOT(ISNUMBER(M22)),"Set added charges (0 if none)",IF(AND(S22&lt;&gt;"",COUNTIFS($S$6:$S$205,S22)&gt;1),"Duplicate payment ID",IF(AND(O22="Confirmed",OR(P22&lt;&gt;N22,S22="")),"Verify full payment + payment ID",IF(OR(U22&lt;&gt;I22,V22&lt;&gt;G22,W22&lt;&gt;H22),"Complete matching attendee details",""))))))))</x:f>
      </x:c>
    </x:row>
    <x:row r="23" ht="22" customHeight="1">
      <x:c r="A23" s="9"/>
      <x:c r="B23" s="18"/>
      <x:c r="C23" s="9"/>
      <x:c r="D23" s="9"/>
      <x:c r="E23" s="19"/>
      <x:c r="F23" s="19"/>
      <x:c r="G23" s="9"/>
      <x:c r="H23" s="9"/>
      <x:c r="I23" s="13" t="str">
        <x:f>IF(A23="","",SUM(G23:H23))</x:f>
      </x:c>
      <x:c r="J23" s="20" t="n">
        <x:v>2999</x:v>
      </x:c>
      <x:c r="K23" s="20" t="n">
        <x:v>3999</x:v>
      </x:c>
      <x:c r="L23" s="14" t="str">
        <x:f>IF(A23="","",G23*J23+H23*K23)</x:f>
      </x:c>
      <x:c r="M23" s="20"/>
      <x:c r="N23" s="14" t="str">
        <x:f>IF(A23="","",IF(ISNUMBER(M23),ROUND(L23+M23,2),"Set added charges"))</x:f>
      </x:c>
      <x:c r="O23" s="9"/>
      <x:c r="P23" s="20"/>
      <x:c r="Q23" s="20"/>
      <x:c r="R23" s="19"/>
      <x:c r="S23" s="19"/>
      <x:c r="T23" s="14" t="str">
        <x:f>IF(A23="","",P23-Q23)</x:f>
      </x:c>
      <x:c r="U23" s="13" t="str">
        <x:f>IF(A23="","",COUNTIFS('Attendees'!$B$6:$B$205,A23,'Attendees'!$A$6:$A$205,"&lt;&gt;"))</x:f>
      </x:c>
      <x:c r="V23" s="13" t="str">
        <x:f>IF(A23="","",COUNTIFS('Attendees'!$B$6:$B$205,A23,'Attendees'!$F$6:$F$205,"Non-alcoholic",'Attendees'!$A$6:$A$205,"&lt;&gt;"))</x:f>
      </x:c>
      <x:c r="W23" s="13" t="str">
        <x:f>IF(A23="","",COUNTIFS('Attendees'!$B$6:$B$205,A23,'Attendees'!$F$6:$F$205,"Alcohol-inclusive",'Attendees'!$A$6:$A$205,"&lt;&gt;"))</x:f>
      </x:c>
      <x:c r="X23" s="9"/>
      <x:c r="Y23" s="13" t="str">
        <x:f>IF(A23="","",IF(COUNTIFS($A$6:$A$205,A23)&gt;1,"Duplicate booking ID",IF(OR(I23&lt;1,I23&gt;'Dashboard'!$E$10,G23&lt;0,H23&lt;0,G23&lt;&gt;INT(G23),H23&lt;&gt;INT(H23)),"Use 1–5 whole passes",IF(OR(C23="",E23="",F23=""),"Complete buyer name, phone and email",IF(NOT(ISNUMBER(M23)),"Set added charges (0 if none)",IF(AND(S23&lt;&gt;"",COUNTIFS($S$6:$S$205,S23)&gt;1),"Duplicate payment ID",IF(AND(O23="Confirmed",OR(P23&lt;&gt;N23,S23="")),"Verify full payment + payment ID",IF(OR(U23&lt;&gt;I23,V23&lt;&gt;G23,W23&lt;&gt;H23),"Complete matching attendee details",""))))))))</x:f>
      </x:c>
    </x:row>
    <x:row r="24" ht="22" customHeight="1">
      <x:c r="A24" s="9"/>
      <x:c r="B24" s="18"/>
      <x:c r="C24" s="9"/>
      <x:c r="D24" s="9"/>
      <x:c r="E24" s="19"/>
      <x:c r="F24" s="19"/>
      <x:c r="G24" s="9"/>
      <x:c r="H24" s="9"/>
      <x:c r="I24" s="13" t="str">
        <x:f>IF(A24="","",SUM(G24:H24))</x:f>
      </x:c>
      <x:c r="J24" s="20" t="n">
        <x:v>2999</x:v>
      </x:c>
      <x:c r="K24" s="20" t="n">
        <x:v>3999</x:v>
      </x:c>
      <x:c r="L24" s="14" t="str">
        <x:f>IF(A24="","",G24*J24+H24*K24)</x:f>
      </x:c>
      <x:c r="M24" s="20"/>
      <x:c r="N24" s="14" t="str">
        <x:f>IF(A24="","",IF(ISNUMBER(M24),ROUND(L24+M24,2),"Set added charges"))</x:f>
      </x:c>
      <x:c r="O24" s="9"/>
      <x:c r="P24" s="20"/>
      <x:c r="Q24" s="20"/>
      <x:c r="R24" s="19"/>
      <x:c r="S24" s="19"/>
      <x:c r="T24" s="14" t="str">
        <x:f>IF(A24="","",P24-Q24)</x:f>
      </x:c>
      <x:c r="U24" s="13" t="str">
        <x:f>IF(A24="","",COUNTIFS('Attendees'!$B$6:$B$205,A24,'Attendees'!$A$6:$A$205,"&lt;&gt;"))</x:f>
      </x:c>
      <x:c r="V24" s="13" t="str">
        <x:f>IF(A24="","",COUNTIFS('Attendees'!$B$6:$B$205,A24,'Attendees'!$F$6:$F$205,"Non-alcoholic",'Attendees'!$A$6:$A$205,"&lt;&gt;"))</x:f>
      </x:c>
      <x:c r="W24" s="13" t="str">
        <x:f>IF(A24="","",COUNTIFS('Attendees'!$B$6:$B$205,A24,'Attendees'!$F$6:$F$205,"Alcohol-inclusive",'Attendees'!$A$6:$A$205,"&lt;&gt;"))</x:f>
      </x:c>
      <x:c r="X24" s="9"/>
      <x:c r="Y24" s="13" t="str">
        <x:f>IF(A24="","",IF(COUNTIFS($A$6:$A$205,A24)&gt;1,"Duplicate booking ID",IF(OR(I24&lt;1,I24&gt;'Dashboard'!$E$10,G24&lt;0,H24&lt;0,G24&lt;&gt;INT(G24),H24&lt;&gt;INT(H24)),"Use 1–5 whole passes",IF(OR(C24="",E24="",F24=""),"Complete buyer name, phone and email",IF(NOT(ISNUMBER(M24)),"Set added charges (0 if none)",IF(AND(S24&lt;&gt;"",COUNTIFS($S$6:$S$205,S24)&gt;1),"Duplicate payment ID",IF(AND(O24="Confirmed",OR(P24&lt;&gt;N24,S24="")),"Verify full payment + payment ID",IF(OR(U24&lt;&gt;I24,V24&lt;&gt;G24,W24&lt;&gt;H24),"Complete matching attendee details",""))))))))</x:f>
      </x:c>
    </x:row>
    <x:row r="25" ht="22" customHeight="1">
      <x:c r="A25" s="9"/>
      <x:c r="B25" s="18"/>
      <x:c r="C25" s="9"/>
      <x:c r="D25" s="9"/>
      <x:c r="E25" s="19"/>
      <x:c r="F25" s="19"/>
      <x:c r="G25" s="9"/>
      <x:c r="H25" s="9"/>
      <x:c r="I25" s="13" t="str">
        <x:f>IF(A25="","",SUM(G25:H25))</x:f>
      </x:c>
      <x:c r="J25" s="20" t="n">
        <x:v>2999</x:v>
      </x:c>
      <x:c r="K25" s="20" t="n">
        <x:v>3999</x:v>
      </x:c>
      <x:c r="L25" s="14" t="str">
        <x:f>IF(A25="","",G25*J25+H25*K25)</x:f>
      </x:c>
      <x:c r="M25" s="20"/>
      <x:c r="N25" s="14" t="str">
        <x:f>IF(A25="","",IF(ISNUMBER(M25),ROUND(L25+M25,2),"Set added charges"))</x:f>
      </x:c>
      <x:c r="O25" s="9"/>
      <x:c r="P25" s="20"/>
      <x:c r="Q25" s="20"/>
      <x:c r="R25" s="19"/>
      <x:c r="S25" s="19"/>
      <x:c r="T25" s="14" t="str">
        <x:f>IF(A25="","",P25-Q25)</x:f>
      </x:c>
      <x:c r="U25" s="13" t="str">
        <x:f>IF(A25="","",COUNTIFS('Attendees'!$B$6:$B$205,A25,'Attendees'!$A$6:$A$205,"&lt;&gt;"))</x:f>
      </x:c>
      <x:c r="V25" s="13" t="str">
        <x:f>IF(A25="","",COUNTIFS('Attendees'!$B$6:$B$205,A25,'Attendees'!$F$6:$F$205,"Non-alcoholic",'Attendees'!$A$6:$A$205,"&lt;&gt;"))</x:f>
      </x:c>
      <x:c r="W25" s="13" t="str">
        <x:f>IF(A25="","",COUNTIFS('Attendees'!$B$6:$B$205,A25,'Attendees'!$F$6:$F$205,"Alcohol-inclusive",'Attendees'!$A$6:$A$205,"&lt;&gt;"))</x:f>
      </x:c>
      <x:c r="X25" s="9"/>
      <x:c r="Y25" s="13" t="str">
        <x:f>IF(A25="","",IF(COUNTIFS($A$6:$A$205,A25)&gt;1,"Duplicate booking ID",IF(OR(I25&lt;1,I25&gt;'Dashboard'!$E$10,G25&lt;0,H25&lt;0,G25&lt;&gt;INT(G25),H25&lt;&gt;INT(H25)),"Use 1–5 whole passes",IF(OR(C25="",E25="",F25=""),"Complete buyer name, phone and email",IF(NOT(ISNUMBER(M25)),"Set added charges (0 if none)",IF(AND(S25&lt;&gt;"",COUNTIFS($S$6:$S$205,S25)&gt;1),"Duplicate payment ID",IF(AND(O25="Confirmed",OR(P25&lt;&gt;N25,S25="")),"Verify full payment + payment ID",IF(OR(U25&lt;&gt;I25,V25&lt;&gt;G25,W25&lt;&gt;H25),"Complete matching attendee details",""))))))))</x:f>
      </x:c>
    </x:row>
    <x:row r="26" ht="22" customHeight="1">
      <x:c r="A26" s="9"/>
      <x:c r="B26" s="18"/>
      <x:c r="C26" s="9"/>
      <x:c r="D26" s="9"/>
      <x:c r="E26" s="19"/>
      <x:c r="F26" s="19"/>
      <x:c r="G26" s="9"/>
      <x:c r="H26" s="9"/>
      <x:c r="I26" s="13" t="str">
        <x:f>IF(A26="","",SUM(G26:H26))</x:f>
      </x:c>
      <x:c r="J26" s="20" t="n">
        <x:v>2999</x:v>
      </x:c>
      <x:c r="K26" s="20" t="n">
        <x:v>3999</x:v>
      </x:c>
      <x:c r="L26" s="14" t="str">
        <x:f>IF(A26="","",G26*J26+H26*K26)</x:f>
      </x:c>
      <x:c r="M26" s="20"/>
      <x:c r="N26" s="14" t="str">
        <x:f>IF(A26="","",IF(ISNUMBER(M26),ROUND(L26+M26,2),"Set added charges"))</x:f>
      </x:c>
      <x:c r="O26" s="9"/>
      <x:c r="P26" s="20"/>
      <x:c r="Q26" s="20"/>
      <x:c r="R26" s="19"/>
      <x:c r="S26" s="19"/>
      <x:c r="T26" s="14" t="str">
        <x:f>IF(A26="","",P26-Q26)</x:f>
      </x:c>
      <x:c r="U26" s="13" t="str">
        <x:f>IF(A26="","",COUNTIFS('Attendees'!$B$6:$B$205,A26,'Attendees'!$A$6:$A$205,"&lt;&gt;"))</x:f>
      </x:c>
      <x:c r="V26" s="13" t="str">
        <x:f>IF(A26="","",COUNTIFS('Attendees'!$B$6:$B$205,A26,'Attendees'!$F$6:$F$205,"Non-alcoholic",'Attendees'!$A$6:$A$205,"&lt;&gt;"))</x:f>
      </x:c>
      <x:c r="W26" s="13" t="str">
        <x:f>IF(A26="","",COUNTIFS('Attendees'!$B$6:$B$205,A26,'Attendees'!$F$6:$F$205,"Alcohol-inclusive",'Attendees'!$A$6:$A$205,"&lt;&gt;"))</x:f>
      </x:c>
      <x:c r="X26" s="9"/>
      <x:c r="Y26" s="13" t="str">
        <x:f>IF(A26="","",IF(COUNTIFS($A$6:$A$205,A26)&gt;1,"Duplicate booking ID",IF(OR(I26&lt;1,I26&gt;'Dashboard'!$E$10,G26&lt;0,H26&lt;0,G26&lt;&gt;INT(G26),H26&lt;&gt;INT(H26)),"Use 1–5 whole passes",IF(OR(C26="",E26="",F26=""),"Complete buyer name, phone and email",IF(NOT(ISNUMBER(M26)),"Set added charges (0 if none)",IF(AND(S26&lt;&gt;"",COUNTIFS($S$6:$S$205,S26)&gt;1),"Duplicate payment ID",IF(AND(O26="Confirmed",OR(P26&lt;&gt;N26,S26="")),"Verify full payment + payment ID",IF(OR(U26&lt;&gt;I26,V26&lt;&gt;G26,W26&lt;&gt;H26),"Complete matching attendee details",""))))))))</x:f>
      </x:c>
    </x:row>
    <x:row r="27" ht="22" customHeight="1">
      <x:c r="A27" s="9"/>
      <x:c r="B27" s="18"/>
      <x:c r="C27" s="9"/>
      <x:c r="D27" s="9"/>
      <x:c r="E27" s="19"/>
      <x:c r="F27" s="19"/>
      <x:c r="G27" s="9"/>
      <x:c r="H27" s="9"/>
      <x:c r="I27" s="13" t="str">
        <x:f>IF(A27="","",SUM(G27:H27))</x:f>
      </x:c>
      <x:c r="J27" s="20" t="n">
        <x:v>2999</x:v>
      </x:c>
      <x:c r="K27" s="20" t="n">
        <x:v>3999</x:v>
      </x:c>
      <x:c r="L27" s="14" t="str">
        <x:f>IF(A27="","",G27*J27+H27*K27)</x:f>
      </x:c>
      <x:c r="M27" s="20"/>
      <x:c r="N27" s="14" t="str">
        <x:f>IF(A27="","",IF(ISNUMBER(M27),ROUND(L27+M27,2),"Set added charges"))</x:f>
      </x:c>
      <x:c r="O27" s="9"/>
      <x:c r="P27" s="20"/>
      <x:c r="Q27" s="20"/>
      <x:c r="R27" s="19"/>
      <x:c r="S27" s="19"/>
      <x:c r="T27" s="14" t="str">
        <x:f>IF(A27="","",P27-Q27)</x:f>
      </x:c>
      <x:c r="U27" s="13" t="str">
        <x:f>IF(A27="","",COUNTIFS('Attendees'!$B$6:$B$205,A27,'Attendees'!$A$6:$A$205,"&lt;&gt;"))</x:f>
      </x:c>
      <x:c r="V27" s="13" t="str">
        <x:f>IF(A27="","",COUNTIFS('Attendees'!$B$6:$B$205,A27,'Attendees'!$F$6:$F$205,"Non-alcoholic",'Attendees'!$A$6:$A$205,"&lt;&gt;"))</x:f>
      </x:c>
      <x:c r="W27" s="13" t="str">
        <x:f>IF(A27="","",COUNTIFS('Attendees'!$B$6:$B$205,A27,'Attendees'!$F$6:$F$205,"Alcohol-inclusive",'Attendees'!$A$6:$A$205,"&lt;&gt;"))</x:f>
      </x:c>
      <x:c r="X27" s="9"/>
      <x:c r="Y27" s="13" t="str">
        <x:f>IF(A27="","",IF(COUNTIFS($A$6:$A$205,A27)&gt;1,"Duplicate booking ID",IF(OR(I27&lt;1,I27&gt;'Dashboard'!$E$10,G27&lt;0,H27&lt;0,G27&lt;&gt;INT(G27),H27&lt;&gt;INT(H27)),"Use 1–5 whole passes",IF(OR(C27="",E27="",F27=""),"Complete buyer name, phone and email",IF(NOT(ISNUMBER(M27)),"Set added charges (0 if none)",IF(AND(S27&lt;&gt;"",COUNTIFS($S$6:$S$205,S27)&gt;1),"Duplicate payment ID",IF(AND(O27="Confirmed",OR(P27&lt;&gt;N27,S27="")),"Verify full payment + payment ID",IF(OR(U27&lt;&gt;I27,V27&lt;&gt;G27,W27&lt;&gt;H27),"Complete matching attendee details",""))))))))</x:f>
      </x:c>
    </x:row>
    <x:row r="28" ht="22" customHeight="1">
      <x:c r="A28" s="9"/>
      <x:c r="B28" s="18"/>
      <x:c r="C28" s="9"/>
      <x:c r="D28" s="9"/>
      <x:c r="E28" s="19"/>
      <x:c r="F28" s="19"/>
      <x:c r="G28" s="9"/>
      <x:c r="H28" s="9"/>
      <x:c r="I28" s="13" t="str">
        <x:f>IF(A28="","",SUM(G28:H28))</x:f>
      </x:c>
      <x:c r="J28" s="20" t="n">
        <x:v>2999</x:v>
      </x:c>
      <x:c r="K28" s="20" t="n">
        <x:v>3999</x:v>
      </x:c>
      <x:c r="L28" s="14" t="str">
        <x:f>IF(A28="","",G28*J28+H28*K28)</x:f>
      </x:c>
      <x:c r="M28" s="20"/>
      <x:c r="N28" s="14" t="str">
        <x:f>IF(A28="","",IF(ISNUMBER(M28),ROUND(L28+M28,2),"Set added charges"))</x:f>
      </x:c>
      <x:c r="O28" s="9"/>
      <x:c r="P28" s="20"/>
      <x:c r="Q28" s="20"/>
      <x:c r="R28" s="19"/>
      <x:c r="S28" s="19"/>
      <x:c r="T28" s="14" t="str">
        <x:f>IF(A28="","",P28-Q28)</x:f>
      </x:c>
      <x:c r="U28" s="13" t="str">
        <x:f>IF(A28="","",COUNTIFS('Attendees'!$B$6:$B$205,A28,'Attendees'!$A$6:$A$205,"&lt;&gt;"))</x:f>
      </x:c>
      <x:c r="V28" s="13" t="str">
        <x:f>IF(A28="","",COUNTIFS('Attendees'!$B$6:$B$205,A28,'Attendees'!$F$6:$F$205,"Non-alcoholic",'Attendees'!$A$6:$A$205,"&lt;&gt;"))</x:f>
      </x:c>
      <x:c r="W28" s="13" t="str">
        <x:f>IF(A28="","",COUNTIFS('Attendees'!$B$6:$B$205,A28,'Attendees'!$F$6:$F$205,"Alcohol-inclusive",'Attendees'!$A$6:$A$205,"&lt;&gt;"))</x:f>
      </x:c>
      <x:c r="X28" s="9"/>
      <x:c r="Y28" s="13" t="str">
        <x:f>IF(A28="","",IF(COUNTIFS($A$6:$A$205,A28)&gt;1,"Duplicate booking ID",IF(OR(I28&lt;1,I28&gt;'Dashboard'!$E$10,G28&lt;0,H28&lt;0,G28&lt;&gt;INT(G28),H28&lt;&gt;INT(H28)),"Use 1–5 whole passes",IF(OR(C28="",E28="",F28=""),"Complete buyer name, phone and email",IF(NOT(ISNUMBER(M28)),"Set added charges (0 if none)",IF(AND(S28&lt;&gt;"",COUNTIFS($S$6:$S$205,S28)&gt;1),"Duplicate payment ID",IF(AND(O28="Confirmed",OR(P28&lt;&gt;N28,S28="")),"Verify full payment + payment ID",IF(OR(U28&lt;&gt;I28,V28&lt;&gt;G28,W28&lt;&gt;H28),"Complete matching attendee details",""))))))))</x:f>
      </x:c>
    </x:row>
    <x:row r="29" ht="22" customHeight="1">
      <x:c r="A29" s="9"/>
      <x:c r="B29" s="18"/>
      <x:c r="C29" s="9"/>
      <x:c r="D29" s="9"/>
      <x:c r="E29" s="19"/>
      <x:c r="F29" s="19"/>
      <x:c r="G29" s="9"/>
      <x:c r="H29" s="9"/>
      <x:c r="I29" s="13" t="str">
        <x:f>IF(A29="","",SUM(G29:H29))</x:f>
      </x:c>
      <x:c r="J29" s="20" t="n">
        <x:v>2999</x:v>
      </x:c>
      <x:c r="K29" s="20" t="n">
        <x:v>3999</x:v>
      </x:c>
      <x:c r="L29" s="14" t="str">
        <x:f>IF(A29="","",G29*J29+H29*K29)</x:f>
      </x:c>
      <x:c r="M29" s="20"/>
      <x:c r="N29" s="14" t="str">
        <x:f>IF(A29="","",IF(ISNUMBER(M29),ROUND(L29+M29,2),"Set added charges"))</x:f>
      </x:c>
      <x:c r="O29" s="9"/>
      <x:c r="P29" s="20"/>
      <x:c r="Q29" s="20"/>
      <x:c r="R29" s="19"/>
      <x:c r="S29" s="19"/>
      <x:c r="T29" s="14" t="str">
        <x:f>IF(A29="","",P29-Q29)</x:f>
      </x:c>
      <x:c r="U29" s="13" t="str">
        <x:f>IF(A29="","",COUNTIFS('Attendees'!$B$6:$B$205,A29,'Attendees'!$A$6:$A$205,"&lt;&gt;"))</x:f>
      </x:c>
      <x:c r="V29" s="13" t="str">
        <x:f>IF(A29="","",COUNTIFS('Attendees'!$B$6:$B$205,A29,'Attendees'!$F$6:$F$205,"Non-alcoholic",'Attendees'!$A$6:$A$205,"&lt;&gt;"))</x:f>
      </x:c>
      <x:c r="W29" s="13" t="str">
        <x:f>IF(A29="","",COUNTIFS('Attendees'!$B$6:$B$205,A29,'Attendees'!$F$6:$F$205,"Alcohol-inclusive",'Attendees'!$A$6:$A$205,"&lt;&gt;"))</x:f>
      </x:c>
      <x:c r="X29" s="9"/>
      <x:c r="Y29" s="13" t="str">
        <x:f>IF(A29="","",IF(COUNTIFS($A$6:$A$205,A29)&gt;1,"Duplicate booking ID",IF(OR(I29&lt;1,I29&gt;'Dashboard'!$E$10,G29&lt;0,H29&lt;0,G29&lt;&gt;INT(G29),H29&lt;&gt;INT(H29)),"Use 1–5 whole passes",IF(OR(C29="",E29="",F29=""),"Complete buyer name, phone and email",IF(NOT(ISNUMBER(M29)),"Set added charges (0 if none)",IF(AND(S29&lt;&gt;"",COUNTIFS($S$6:$S$205,S29)&gt;1),"Duplicate payment ID",IF(AND(O29="Confirmed",OR(P29&lt;&gt;N29,S29="")),"Verify full payment + payment ID",IF(OR(U29&lt;&gt;I29,V29&lt;&gt;G29,W29&lt;&gt;H29),"Complete matching attendee details",""))))))))</x:f>
      </x:c>
    </x:row>
    <x:row r="30" ht="22" customHeight="1">
      <x:c r="A30" s="9"/>
      <x:c r="B30" s="18"/>
      <x:c r="C30" s="9"/>
      <x:c r="D30" s="9"/>
      <x:c r="E30" s="19"/>
      <x:c r="F30" s="19"/>
      <x:c r="G30" s="9"/>
      <x:c r="H30" s="9"/>
      <x:c r="I30" s="13" t="str">
        <x:f>IF(A30="","",SUM(G30:H30))</x:f>
      </x:c>
      <x:c r="J30" s="20" t="n">
        <x:v>2999</x:v>
      </x:c>
      <x:c r="K30" s="20" t="n">
        <x:v>3999</x:v>
      </x:c>
      <x:c r="L30" s="14" t="str">
        <x:f>IF(A30="","",G30*J30+H30*K30)</x:f>
      </x:c>
      <x:c r="M30" s="20"/>
      <x:c r="N30" s="14" t="str">
        <x:f>IF(A30="","",IF(ISNUMBER(M30),ROUND(L30+M30,2),"Set added charges"))</x:f>
      </x:c>
      <x:c r="O30" s="9"/>
      <x:c r="P30" s="20"/>
      <x:c r="Q30" s="20"/>
      <x:c r="R30" s="19"/>
      <x:c r="S30" s="19"/>
      <x:c r="T30" s="14" t="str">
        <x:f>IF(A30="","",P30-Q30)</x:f>
      </x:c>
      <x:c r="U30" s="13" t="str">
        <x:f>IF(A30="","",COUNTIFS('Attendees'!$B$6:$B$205,A30,'Attendees'!$A$6:$A$205,"&lt;&gt;"))</x:f>
      </x:c>
      <x:c r="V30" s="13" t="str">
        <x:f>IF(A30="","",COUNTIFS('Attendees'!$B$6:$B$205,A30,'Attendees'!$F$6:$F$205,"Non-alcoholic",'Attendees'!$A$6:$A$205,"&lt;&gt;"))</x:f>
      </x:c>
      <x:c r="W30" s="13" t="str">
        <x:f>IF(A30="","",COUNTIFS('Attendees'!$B$6:$B$205,A30,'Attendees'!$F$6:$F$205,"Alcohol-inclusive",'Attendees'!$A$6:$A$205,"&lt;&gt;"))</x:f>
      </x:c>
      <x:c r="X30" s="9"/>
      <x:c r="Y30" s="13" t="str">
        <x:f>IF(A30="","",IF(COUNTIFS($A$6:$A$205,A30)&gt;1,"Duplicate booking ID",IF(OR(I30&lt;1,I30&gt;'Dashboard'!$E$10,G30&lt;0,H30&lt;0,G30&lt;&gt;INT(G30),H30&lt;&gt;INT(H30)),"Use 1–5 whole passes",IF(OR(C30="",E30="",F30=""),"Complete buyer name, phone and email",IF(NOT(ISNUMBER(M30)),"Set added charges (0 if none)",IF(AND(S30&lt;&gt;"",COUNTIFS($S$6:$S$205,S30)&gt;1),"Duplicate payment ID",IF(AND(O30="Confirmed",OR(P30&lt;&gt;N30,S30="")),"Verify full payment + payment ID",IF(OR(U30&lt;&gt;I30,V30&lt;&gt;G30,W30&lt;&gt;H30),"Complete matching attendee details",""))))))))</x:f>
      </x:c>
    </x:row>
    <x:row r="31" ht="22" customHeight="1">
      <x:c r="A31" s="9"/>
      <x:c r="B31" s="18"/>
      <x:c r="C31" s="9"/>
      <x:c r="D31" s="9"/>
      <x:c r="E31" s="19"/>
      <x:c r="F31" s="19"/>
      <x:c r="G31" s="9"/>
      <x:c r="H31" s="9"/>
      <x:c r="I31" s="13" t="str">
        <x:f>IF(A31="","",SUM(G31:H31))</x:f>
      </x:c>
      <x:c r="J31" s="20" t="n">
        <x:v>2999</x:v>
      </x:c>
      <x:c r="K31" s="20" t="n">
        <x:v>3999</x:v>
      </x:c>
      <x:c r="L31" s="14" t="str">
        <x:f>IF(A31="","",G31*J31+H31*K31)</x:f>
      </x:c>
      <x:c r="M31" s="20"/>
      <x:c r="N31" s="14" t="str">
        <x:f>IF(A31="","",IF(ISNUMBER(M31),ROUND(L31+M31,2),"Set added charges"))</x:f>
      </x:c>
      <x:c r="O31" s="9"/>
      <x:c r="P31" s="20"/>
      <x:c r="Q31" s="20"/>
      <x:c r="R31" s="19"/>
      <x:c r="S31" s="19"/>
      <x:c r="T31" s="14" t="str">
        <x:f>IF(A31="","",P31-Q31)</x:f>
      </x:c>
      <x:c r="U31" s="13" t="str">
        <x:f>IF(A31="","",COUNTIFS('Attendees'!$B$6:$B$205,A31,'Attendees'!$A$6:$A$205,"&lt;&gt;"))</x:f>
      </x:c>
      <x:c r="V31" s="13" t="str">
        <x:f>IF(A31="","",COUNTIFS('Attendees'!$B$6:$B$205,A31,'Attendees'!$F$6:$F$205,"Non-alcoholic",'Attendees'!$A$6:$A$205,"&lt;&gt;"))</x:f>
      </x:c>
      <x:c r="W31" s="13" t="str">
        <x:f>IF(A31="","",COUNTIFS('Attendees'!$B$6:$B$205,A31,'Attendees'!$F$6:$F$205,"Alcohol-inclusive",'Attendees'!$A$6:$A$205,"&lt;&gt;"))</x:f>
      </x:c>
      <x:c r="X31" s="9"/>
      <x:c r="Y31" s="13" t="str">
        <x:f>IF(A31="","",IF(COUNTIFS($A$6:$A$205,A31)&gt;1,"Duplicate booking ID",IF(OR(I31&lt;1,I31&gt;'Dashboard'!$E$10,G31&lt;0,H31&lt;0,G31&lt;&gt;INT(G31),H31&lt;&gt;INT(H31)),"Use 1–5 whole passes",IF(OR(C31="",E31="",F31=""),"Complete buyer name, phone and email",IF(NOT(ISNUMBER(M31)),"Set added charges (0 if none)",IF(AND(S31&lt;&gt;"",COUNTIFS($S$6:$S$205,S31)&gt;1),"Duplicate payment ID",IF(AND(O31="Confirmed",OR(P31&lt;&gt;N31,S31="")),"Verify full payment + payment ID",IF(OR(U31&lt;&gt;I31,V31&lt;&gt;G31,W31&lt;&gt;H31),"Complete matching attendee details",""))))))))</x:f>
      </x:c>
    </x:row>
    <x:row r="32" ht="22" customHeight="1">
      <x:c r="A32" s="9"/>
      <x:c r="B32" s="18"/>
      <x:c r="C32" s="9"/>
      <x:c r="D32" s="9"/>
      <x:c r="E32" s="19"/>
      <x:c r="F32" s="19"/>
      <x:c r="G32" s="9"/>
      <x:c r="H32" s="9"/>
      <x:c r="I32" s="13" t="str">
        <x:f>IF(A32="","",SUM(G32:H32))</x:f>
      </x:c>
      <x:c r="J32" s="20" t="n">
        <x:v>2999</x:v>
      </x:c>
      <x:c r="K32" s="20" t="n">
        <x:v>3999</x:v>
      </x:c>
      <x:c r="L32" s="14" t="str">
        <x:f>IF(A32="","",G32*J32+H32*K32)</x:f>
      </x:c>
      <x:c r="M32" s="20"/>
      <x:c r="N32" s="14" t="str">
        <x:f>IF(A32="","",IF(ISNUMBER(M32),ROUND(L32+M32,2),"Set added charges"))</x:f>
      </x:c>
      <x:c r="O32" s="9"/>
      <x:c r="P32" s="20"/>
      <x:c r="Q32" s="20"/>
      <x:c r="R32" s="19"/>
      <x:c r="S32" s="19"/>
      <x:c r="T32" s="14" t="str">
        <x:f>IF(A32="","",P32-Q32)</x:f>
      </x:c>
      <x:c r="U32" s="13" t="str">
        <x:f>IF(A32="","",COUNTIFS('Attendees'!$B$6:$B$205,A32,'Attendees'!$A$6:$A$205,"&lt;&gt;"))</x:f>
      </x:c>
      <x:c r="V32" s="13" t="str">
        <x:f>IF(A32="","",COUNTIFS('Attendees'!$B$6:$B$205,A32,'Attendees'!$F$6:$F$205,"Non-alcoholic",'Attendees'!$A$6:$A$205,"&lt;&gt;"))</x:f>
      </x:c>
      <x:c r="W32" s="13" t="str">
        <x:f>IF(A32="","",COUNTIFS('Attendees'!$B$6:$B$205,A32,'Attendees'!$F$6:$F$205,"Alcohol-inclusive",'Attendees'!$A$6:$A$205,"&lt;&gt;"))</x:f>
      </x:c>
      <x:c r="X32" s="9"/>
      <x:c r="Y32" s="13" t="str">
        <x:f>IF(A32="","",IF(COUNTIFS($A$6:$A$205,A32)&gt;1,"Duplicate booking ID",IF(OR(I32&lt;1,I32&gt;'Dashboard'!$E$10,G32&lt;0,H32&lt;0,G32&lt;&gt;INT(G32),H32&lt;&gt;INT(H32)),"Use 1–5 whole passes",IF(OR(C32="",E32="",F32=""),"Complete buyer name, phone and email",IF(NOT(ISNUMBER(M32)),"Set added charges (0 if none)",IF(AND(S32&lt;&gt;"",COUNTIFS($S$6:$S$205,S32)&gt;1),"Duplicate payment ID",IF(AND(O32="Confirmed",OR(P32&lt;&gt;N32,S32="")),"Verify full payment + payment ID",IF(OR(U32&lt;&gt;I32,V32&lt;&gt;G32,W32&lt;&gt;H32),"Complete matching attendee details",""))))))))</x:f>
      </x:c>
    </x:row>
    <x:row r="33" ht="22" customHeight="1">
      <x:c r="A33" s="9"/>
      <x:c r="B33" s="18"/>
      <x:c r="C33" s="9"/>
      <x:c r="D33" s="9"/>
      <x:c r="E33" s="19"/>
      <x:c r="F33" s="19"/>
      <x:c r="G33" s="9"/>
      <x:c r="H33" s="9"/>
      <x:c r="I33" s="13" t="str">
        <x:f>IF(A33="","",SUM(G33:H33))</x:f>
      </x:c>
      <x:c r="J33" s="20" t="n">
        <x:v>2999</x:v>
      </x:c>
      <x:c r="K33" s="20" t="n">
        <x:v>3999</x:v>
      </x:c>
      <x:c r="L33" s="14" t="str">
        <x:f>IF(A33="","",G33*J33+H33*K33)</x:f>
      </x:c>
      <x:c r="M33" s="20"/>
      <x:c r="N33" s="14" t="str">
        <x:f>IF(A33="","",IF(ISNUMBER(M33),ROUND(L33+M33,2),"Set added charges"))</x:f>
      </x:c>
      <x:c r="O33" s="9"/>
      <x:c r="P33" s="20"/>
      <x:c r="Q33" s="20"/>
      <x:c r="R33" s="19"/>
      <x:c r="S33" s="19"/>
      <x:c r="T33" s="14" t="str">
        <x:f>IF(A33="","",P33-Q33)</x:f>
      </x:c>
      <x:c r="U33" s="13" t="str">
        <x:f>IF(A33="","",COUNTIFS('Attendees'!$B$6:$B$205,A33,'Attendees'!$A$6:$A$205,"&lt;&gt;"))</x:f>
      </x:c>
      <x:c r="V33" s="13" t="str">
        <x:f>IF(A33="","",COUNTIFS('Attendees'!$B$6:$B$205,A33,'Attendees'!$F$6:$F$205,"Non-alcoholic",'Attendees'!$A$6:$A$205,"&lt;&gt;"))</x:f>
      </x:c>
      <x:c r="W33" s="13" t="str">
        <x:f>IF(A33="","",COUNTIFS('Attendees'!$B$6:$B$205,A33,'Attendees'!$F$6:$F$205,"Alcohol-inclusive",'Attendees'!$A$6:$A$205,"&lt;&gt;"))</x:f>
      </x:c>
      <x:c r="X33" s="9"/>
      <x:c r="Y33" s="13" t="str">
        <x:f>IF(A33="","",IF(COUNTIFS($A$6:$A$205,A33)&gt;1,"Duplicate booking ID",IF(OR(I33&lt;1,I33&gt;'Dashboard'!$E$10,G33&lt;0,H33&lt;0,G33&lt;&gt;INT(G33),H33&lt;&gt;INT(H33)),"Use 1–5 whole passes",IF(OR(C33="",E33="",F33=""),"Complete buyer name, phone and email",IF(NOT(ISNUMBER(M33)),"Set added charges (0 if none)",IF(AND(S33&lt;&gt;"",COUNTIFS($S$6:$S$205,S33)&gt;1),"Duplicate payment ID",IF(AND(O33="Confirmed",OR(P33&lt;&gt;N33,S33="")),"Verify full payment + payment ID",IF(OR(U33&lt;&gt;I33,V33&lt;&gt;G33,W33&lt;&gt;H33),"Complete matching attendee details",""))))))))</x:f>
      </x:c>
    </x:row>
    <x:row r="34" ht="22" customHeight="1">
      <x:c r="A34" s="9"/>
      <x:c r="B34" s="18"/>
      <x:c r="C34" s="9"/>
      <x:c r="D34" s="9"/>
      <x:c r="E34" s="19"/>
      <x:c r="F34" s="19"/>
      <x:c r="G34" s="9"/>
      <x:c r="H34" s="9"/>
      <x:c r="I34" s="13" t="str">
        <x:f>IF(A34="","",SUM(G34:H34))</x:f>
      </x:c>
      <x:c r="J34" s="20" t="n">
        <x:v>2999</x:v>
      </x:c>
      <x:c r="K34" s="20" t="n">
        <x:v>3999</x:v>
      </x:c>
      <x:c r="L34" s="14" t="str">
        <x:f>IF(A34="","",G34*J34+H34*K34)</x:f>
      </x:c>
      <x:c r="M34" s="20"/>
      <x:c r="N34" s="14" t="str">
        <x:f>IF(A34="","",IF(ISNUMBER(M34),ROUND(L34+M34,2),"Set added charges"))</x:f>
      </x:c>
      <x:c r="O34" s="9"/>
      <x:c r="P34" s="20"/>
      <x:c r="Q34" s="20"/>
      <x:c r="R34" s="19"/>
      <x:c r="S34" s="19"/>
      <x:c r="T34" s="14" t="str">
        <x:f>IF(A34="","",P34-Q34)</x:f>
      </x:c>
      <x:c r="U34" s="13" t="str">
        <x:f>IF(A34="","",COUNTIFS('Attendees'!$B$6:$B$205,A34,'Attendees'!$A$6:$A$205,"&lt;&gt;"))</x:f>
      </x:c>
      <x:c r="V34" s="13" t="str">
        <x:f>IF(A34="","",COUNTIFS('Attendees'!$B$6:$B$205,A34,'Attendees'!$F$6:$F$205,"Non-alcoholic",'Attendees'!$A$6:$A$205,"&lt;&gt;"))</x:f>
      </x:c>
      <x:c r="W34" s="13" t="str">
        <x:f>IF(A34="","",COUNTIFS('Attendees'!$B$6:$B$205,A34,'Attendees'!$F$6:$F$205,"Alcohol-inclusive",'Attendees'!$A$6:$A$205,"&lt;&gt;"))</x:f>
      </x:c>
      <x:c r="X34" s="9"/>
      <x:c r="Y34" s="13" t="str">
        <x:f>IF(A34="","",IF(COUNTIFS($A$6:$A$205,A34)&gt;1,"Duplicate booking ID",IF(OR(I34&lt;1,I34&gt;'Dashboard'!$E$10,G34&lt;0,H34&lt;0,G34&lt;&gt;INT(G34),H34&lt;&gt;INT(H34)),"Use 1–5 whole passes",IF(OR(C34="",E34="",F34=""),"Complete buyer name, phone and email",IF(NOT(ISNUMBER(M34)),"Set added charges (0 if none)",IF(AND(S34&lt;&gt;"",COUNTIFS($S$6:$S$205,S34)&gt;1),"Duplicate payment ID",IF(AND(O34="Confirmed",OR(P34&lt;&gt;N34,S34="")),"Verify full payment + payment ID",IF(OR(U34&lt;&gt;I34,V34&lt;&gt;G34,W34&lt;&gt;H34),"Complete matching attendee details",""))))))))</x:f>
      </x:c>
    </x:row>
    <x:row r="35" ht="22" customHeight="1">
      <x:c r="A35" s="9"/>
      <x:c r="B35" s="18"/>
      <x:c r="C35" s="9"/>
      <x:c r="D35" s="9"/>
      <x:c r="E35" s="19"/>
      <x:c r="F35" s="19"/>
      <x:c r="G35" s="9"/>
      <x:c r="H35" s="9"/>
      <x:c r="I35" s="13" t="str">
        <x:f>IF(A35="","",SUM(G35:H35))</x:f>
      </x:c>
      <x:c r="J35" s="20" t="n">
        <x:v>2999</x:v>
      </x:c>
      <x:c r="K35" s="20" t="n">
        <x:v>3999</x:v>
      </x:c>
      <x:c r="L35" s="14" t="str">
        <x:f>IF(A35="","",G35*J35+H35*K35)</x:f>
      </x:c>
      <x:c r="M35" s="20"/>
      <x:c r="N35" s="14" t="str">
        <x:f>IF(A35="","",IF(ISNUMBER(M35),ROUND(L35+M35,2),"Set added charges"))</x:f>
      </x:c>
      <x:c r="O35" s="9"/>
      <x:c r="P35" s="20"/>
      <x:c r="Q35" s="20"/>
      <x:c r="R35" s="19"/>
      <x:c r="S35" s="19"/>
      <x:c r="T35" s="14" t="str">
        <x:f>IF(A35="","",P35-Q35)</x:f>
      </x:c>
      <x:c r="U35" s="13" t="str">
        <x:f>IF(A35="","",COUNTIFS('Attendees'!$B$6:$B$205,A35,'Attendees'!$A$6:$A$205,"&lt;&gt;"))</x:f>
      </x:c>
      <x:c r="V35" s="13" t="str">
        <x:f>IF(A35="","",COUNTIFS('Attendees'!$B$6:$B$205,A35,'Attendees'!$F$6:$F$205,"Non-alcoholic",'Attendees'!$A$6:$A$205,"&lt;&gt;"))</x:f>
      </x:c>
      <x:c r="W35" s="13" t="str">
        <x:f>IF(A35="","",COUNTIFS('Attendees'!$B$6:$B$205,A35,'Attendees'!$F$6:$F$205,"Alcohol-inclusive",'Attendees'!$A$6:$A$205,"&lt;&gt;"))</x:f>
      </x:c>
      <x:c r="X35" s="9"/>
      <x:c r="Y35" s="13" t="str">
        <x:f>IF(A35="","",IF(COUNTIFS($A$6:$A$205,A35)&gt;1,"Duplicate booking ID",IF(OR(I35&lt;1,I35&gt;'Dashboard'!$E$10,G35&lt;0,H35&lt;0,G35&lt;&gt;INT(G35),H35&lt;&gt;INT(H35)),"Use 1–5 whole passes",IF(OR(C35="",E35="",F35=""),"Complete buyer name, phone and email",IF(NOT(ISNUMBER(M35)),"Set added charges (0 if none)",IF(AND(S35&lt;&gt;"",COUNTIFS($S$6:$S$205,S35)&gt;1),"Duplicate payment ID",IF(AND(O35="Confirmed",OR(P35&lt;&gt;N35,S35="")),"Verify full payment + payment ID",IF(OR(U35&lt;&gt;I35,V35&lt;&gt;G35,W35&lt;&gt;H35),"Complete matching attendee details",""))))))))</x:f>
      </x:c>
    </x:row>
    <x:row r="36" ht="22" customHeight="1">
      <x:c r="A36" s="9"/>
      <x:c r="B36" s="18"/>
      <x:c r="C36" s="9"/>
      <x:c r="D36" s="9"/>
      <x:c r="E36" s="19"/>
      <x:c r="F36" s="19"/>
      <x:c r="G36" s="9"/>
      <x:c r="H36" s="9"/>
      <x:c r="I36" s="13" t="str">
        <x:f>IF(A36="","",SUM(G36:H36))</x:f>
      </x:c>
      <x:c r="J36" s="20" t="n">
        <x:v>2999</x:v>
      </x:c>
      <x:c r="K36" s="20" t="n">
        <x:v>3999</x:v>
      </x:c>
      <x:c r="L36" s="14" t="str">
        <x:f>IF(A36="","",G36*J36+H36*K36)</x:f>
      </x:c>
      <x:c r="M36" s="20"/>
      <x:c r="N36" s="14" t="str">
        <x:f>IF(A36="","",IF(ISNUMBER(M36),ROUND(L36+M36,2),"Set added charges"))</x:f>
      </x:c>
      <x:c r="O36" s="9"/>
      <x:c r="P36" s="20"/>
      <x:c r="Q36" s="20"/>
      <x:c r="R36" s="19"/>
      <x:c r="S36" s="19"/>
      <x:c r="T36" s="14" t="str">
        <x:f>IF(A36="","",P36-Q36)</x:f>
      </x:c>
      <x:c r="U36" s="13" t="str">
        <x:f>IF(A36="","",COUNTIFS('Attendees'!$B$6:$B$205,A36,'Attendees'!$A$6:$A$205,"&lt;&gt;"))</x:f>
      </x:c>
      <x:c r="V36" s="13" t="str">
        <x:f>IF(A36="","",COUNTIFS('Attendees'!$B$6:$B$205,A36,'Attendees'!$F$6:$F$205,"Non-alcoholic",'Attendees'!$A$6:$A$205,"&lt;&gt;"))</x:f>
      </x:c>
      <x:c r="W36" s="13" t="str">
        <x:f>IF(A36="","",COUNTIFS('Attendees'!$B$6:$B$205,A36,'Attendees'!$F$6:$F$205,"Alcohol-inclusive",'Attendees'!$A$6:$A$205,"&lt;&gt;"))</x:f>
      </x:c>
      <x:c r="X36" s="9"/>
      <x:c r="Y36" s="13" t="str">
        <x:f>IF(A36="","",IF(COUNTIFS($A$6:$A$205,A36)&gt;1,"Duplicate booking ID",IF(OR(I36&lt;1,I36&gt;'Dashboard'!$E$10,G36&lt;0,H36&lt;0,G36&lt;&gt;INT(G36),H36&lt;&gt;INT(H36)),"Use 1–5 whole passes",IF(OR(C36="",E36="",F36=""),"Complete buyer name, phone and email",IF(NOT(ISNUMBER(M36)),"Set added charges (0 if none)",IF(AND(S36&lt;&gt;"",COUNTIFS($S$6:$S$205,S36)&gt;1),"Duplicate payment ID",IF(AND(O36="Confirmed",OR(P36&lt;&gt;N36,S36="")),"Verify full payment + payment ID",IF(OR(U36&lt;&gt;I36,V36&lt;&gt;G36,W36&lt;&gt;H36),"Complete matching attendee details",""))))))))</x:f>
      </x:c>
    </x:row>
    <x:row r="37" ht="22" customHeight="1">
      <x:c r="A37" s="9"/>
      <x:c r="B37" s="18"/>
      <x:c r="C37" s="9"/>
      <x:c r="D37" s="9"/>
      <x:c r="E37" s="19"/>
      <x:c r="F37" s="19"/>
      <x:c r="G37" s="9"/>
      <x:c r="H37" s="9"/>
      <x:c r="I37" s="13" t="str">
        <x:f>IF(A37="","",SUM(G37:H37))</x:f>
      </x:c>
      <x:c r="J37" s="20" t="n">
        <x:v>2999</x:v>
      </x:c>
      <x:c r="K37" s="20" t="n">
        <x:v>3999</x:v>
      </x:c>
      <x:c r="L37" s="14" t="str">
        <x:f>IF(A37="","",G37*J37+H37*K37)</x:f>
      </x:c>
      <x:c r="M37" s="20"/>
      <x:c r="N37" s="14" t="str">
        <x:f>IF(A37="","",IF(ISNUMBER(M37),ROUND(L37+M37,2),"Set added charges"))</x:f>
      </x:c>
      <x:c r="O37" s="9"/>
      <x:c r="P37" s="20"/>
      <x:c r="Q37" s="20"/>
      <x:c r="R37" s="19"/>
      <x:c r="S37" s="19"/>
      <x:c r="T37" s="14" t="str">
        <x:f>IF(A37="","",P37-Q37)</x:f>
      </x:c>
      <x:c r="U37" s="13" t="str">
        <x:f>IF(A37="","",COUNTIFS('Attendees'!$B$6:$B$205,A37,'Attendees'!$A$6:$A$205,"&lt;&gt;"))</x:f>
      </x:c>
      <x:c r="V37" s="13" t="str">
        <x:f>IF(A37="","",COUNTIFS('Attendees'!$B$6:$B$205,A37,'Attendees'!$F$6:$F$205,"Non-alcoholic",'Attendees'!$A$6:$A$205,"&lt;&gt;"))</x:f>
      </x:c>
      <x:c r="W37" s="13" t="str">
        <x:f>IF(A37="","",COUNTIFS('Attendees'!$B$6:$B$205,A37,'Attendees'!$F$6:$F$205,"Alcohol-inclusive",'Attendees'!$A$6:$A$205,"&lt;&gt;"))</x:f>
      </x:c>
      <x:c r="X37" s="9"/>
      <x:c r="Y37" s="13" t="str">
        <x:f>IF(A37="","",IF(COUNTIFS($A$6:$A$205,A37)&gt;1,"Duplicate booking ID",IF(OR(I37&lt;1,I37&gt;'Dashboard'!$E$10,G37&lt;0,H37&lt;0,G37&lt;&gt;INT(G37),H37&lt;&gt;INT(H37)),"Use 1–5 whole passes",IF(OR(C37="",E37="",F37=""),"Complete buyer name, phone and email",IF(NOT(ISNUMBER(M37)),"Set added charges (0 if none)",IF(AND(S37&lt;&gt;"",COUNTIFS($S$6:$S$205,S37)&gt;1),"Duplicate payment ID",IF(AND(O37="Confirmed",OR(P37&lt;&gt;N37,S37="")),"Verify full payment + payment ID",IF(OR(U37&lt;&gt;I37,V37&lt;&gt;G37,W37&lt;&gt;H37),"Complete matching attendee details",""))))))))</x:f>
      </x:c>
    </x:row>
    <x:row r="38" ht="22" customHeight="1">
      <x:c r="A38" s="9"/>
      <x:c r="B38" s="18"/>
      <x:c r="C38" s="9"/>
      <x:c r="D38" s="9"/>
      <x:c r="E38" s="19"/>
      <x:c r="F38" s="19"/>
      <x:c r="G38" s="9"/>
      <x:c r="H38" s="9"/>
      <x:c r="I38" s="13" t="str">
        <x:f>IF(A38="","",SUM(G38:H38))</x:f>
      </x:c>
      <x:c r="J38" s="20" t="n">
        <x:v>2999</x:v>
      </x:c>
      <x:c r="K38" s="20" t="n">
        <x:v>3999</x:v>
      </x:c>
      <x:c r="L38" s="14" t="str">
        <x:f>IF(A38="","",G38*J38+H38*K38)</x:f>
      </x:c>
      <x:c r="M38" s="20"/>
      <x:c r="N38" s="14" t="str">
        <x:f>IF(A38="","",IF(ISNUMBER(M38),ROUND(L38+M38,2),"Set added charges"))</x:f>
      </x:c>
      <x:c r="O38" s="9"/>
      <x:c r="P38" s="20"/>
      <x:c r="Q38" s="20"/>
      <x:c r="R38" s="19"/>
      <x:c r="S38" s="19"/>
      <x:c r="T38" s="14" t="str">
        <x:f>IF(A38="","",P38-Q38)</x:f>
      </x:c>
      <x:c r="U38" s="13" t="str">
        <x:f>IF(A38="","",COUNTIFS('Attendees'!$B$6:$B$205,A38,'Attendees'!$A$6:$A$205,"&lt;&gt;"))</x:f>
      </x:c>
      <x:c r="V38" s="13" t="str">
        <x:f>IF(A38="","",COUNTIFS('Attendees'!$B$6:$B$205,A38,'Attendees'!$F$6:$F$205,"Non-alcoholic",'Attendees'!$A$6:$A$205,"&lt;&gt;"))</x:f>
      </x:c>
      <x:c r="W38" s="13" t="str">
        <x:f>IF(A38="","",COUNTIFS('Attendees'!$B$6:$B$205,A38,'Attendees'!$F$6:$F$205,"Alcohol-inclusive",'Attendees'!$A$6:$A$205,"&lt;&gt;"))</x:f>
      </x:c>
      <x:c r="X38" s="9"/>
      <x:c r="Y38" s="13" t="str">
        <x:f>IF(A38="","",IF(COUNTIFS($A$6:$A$205,A38)&gt;1,"Duplicate booking ID",IF(OR(I38&lt;1,I38&gt;'Dashboard'!$E$10,G38&lt;0,H38&lt;0,G38&lt;&gt;INT(G38),H38&lt;&gt;INT(H38)),"Use 1–5 whole passes",IF(OR(C38="",E38="",F38=""),"Complete buyer name, phone and email",IF(NOT(ISNUMBER(M38)),"Set added charges (0 if none)",IF(AND(S38&lt;&gt;"",COUNTIFS($S$6:$S$205,S38)&gt;1),"Duplicate payment ID",IF(AND(O38="Confirmed",OR(P38&lt;&gt;N38,S38="")),"Verify full payment + payment ID",IF(OR(U38&lt;&gt;I38,V38&lt;&gt;G38,W38&lt;&gt;H38),"Complete matching attendee details",""))))))))</x:f>
      </x:c>
    </x:row>
    <x:row r="39" ht="22" customHeight="1">
      <x:c r="A39" s="9"/>
      <x:c r="B39" s="18"/>
      <x:c r="C39" s="9"/>
      <x:c r="D39" s="9"/>
      <x:c r="E39" s="19"/>
      <x:c r="F39" s="19"/>
      <x:c r="G39" s="9"/>
      <x:c r="H39" s="9"/>
      <x:c r="I39" s="13" t="str">
        <x:f>IF(A39="","",SUM(G39:H39))</x:f>
      </x:c>
      <x:c r="J39" s="20" t="n">
        <x:v>2999</x:v>
      </x:c>
      <x:c r="K39" s="20" t="n">
        <x:v>3999</x:v>
      </x:c>
      <x:c r="L39" s="14" t="str">
        <x:f>IF(A39="","",G39*J39+H39*K39)</x:f>
      </x:c>
      <x:c r="M39" s="20"/>
      <x:c r="N39" s="14" t="str">
        <x:f>IF(A39="","",IF(ISNUMBER(M39),ROUND(L39+M39,2),"Set added charges"))</x:f>
      </x:c>
      <x:c r="O39" s="9"/>
      <x:c r="P39" s="20"/>
      <x:c r="Q39" s="20"/>
      <x:c r="R39" s="19"/>
      <x:c r="S39" s="19"/>
      <x:c r="T39" s="14" t="str">
        <x:f>IF(A39="","",P39-Q39)</x:f>
      </x:c>
      <x:c r="U39" s="13" t="str">
        <x:f>IF(A39="","",COUNTIFS('Attendees'!$B$6:$B$205,A39,'Attendees'!$A$6:$A$205,"&lt;&gt;"))</x:f>
      </x:c>
      <x:c r="V39" s="13" t="str">
        <x:f>IF(A39="","",COUNTIFS('Attendees'!$B$6:$B$205,A39,'Attendees'!$F$6:$F$205,"Non-alcoholic",'Attendees'!$A$6:$A$205,"&lt;&gt;"))</x:f>
      </x:c>
      <x:c r="W39" s="13" t="str">
        <x:f>IF(A39="","",COUNTIFS('Attendees'!$B$6:$B$205,A39,'Attendees'!$F$6:$F$205,"Alcohol-inclusive",'Attendees'!$A$6:$A$205,"&lt;&gt;"))</x:f>
      </x:c>
      <x:c r="X39" s="9"/>
      <x:c r="Y39" s="13" t="str">
        <x:f>IF(A39="","",IF(COUNTIFS($A$6:$A$205,A39)&gt;1,"Duplicate booking ID",IF(OR(I39&lt;1,I39&gt;'Dashboard'!$E$10,G39&lt;0,H39&lt;0,G39&lt;&gt;INT(G39),H39&lt;&gt;INT(H39)),"Use 1–5 whole passes",IF(OR(C39="",E39="",F39=""),"Complete buyer name, phone and email",IF(NOT(ISNUMBER(M39)),"Set added charges (0 if none)",IF(AND(S39&lt;&gt;"",COUNTIFS($S$6:$S$205,S39)&gt;1),"Duplicate payment ID",IF(AND(O39="Confirmed",OR(P39&lt;&gt;N39,S39="")),"Verify full payment + payment ID",IF(OR(U39&lt;&gt;I39,V39&lt;&gt;G39,W39&lt;&gt;H39),"Complete matching attendee details",""))))))))</x:f>
      </x:c>
    </x:row>
    <x:row r="40" ht="22" customHeight="1">
      <x:c r="A40" s="9"/>
      <x:c r="B40" s="18"/>
      <x:c r="C40" s="9"/>
      <x:c r="D40" s="9"/>
      <x:c r="E40" s="19"/>
      <x:c r="F40" s="19"/>
      <x:c r="G40" s="9"/>
      <x:c r="H40" s="9"/>
      <x:c r="I40" s="13" t="str">
        <x:f>IF(A40="","",SUM(G40:H40))</x:f>
      </x:c>
      <x:c r="J40" s="20" t="n">
        <x:v>2999</x:v>
      </x:c>
      <x:c r="K40" s="20" t="n">
        <x:v>3999</x:v>
      </x:c>
      <x:c r="L40" s="14" t="str">
        <x:f>IF(A40="","",G40*J40+H40*K40)</x:f>
      </x:c>
      <x:c r="M40" s="20"/>
      <x:c r="N40" s="14" t="str">
        <x:f>IF(A40="","",IF(ISNUMBER(M40),ROUND(L40+M40,2),"Set added charges"))</x:f>
      </x:c>
      <x:c r="O40" s="9"/>
      <x:c r="P40" s="20"/>
      <x:c r="Q40" s="20"/>
      <x:c r="R40" s="19"/>
      <x:c r="S40" s="19"/>
      <x:c r="T40" s="14" t="str">
        <x:f>IF(A40="","",P40-Q40)</x:f>
      </x:c>
      <x:c r="U40" s="13" t="str">
        <x:f>IF(A40="","",COUNTIFS('Attendees'!$B$6:$B$205,A40,'Attendees'!$A$6:$A$205,"&lt;&gt;"))</x:f>
      </x:c>
      <x:c r="V40" s="13" t="str">
        <x:f>IF(A40="","",COUNTIFS('Attendees'!$B$6:$B$205,A40,'Attendees'!$F$6:$F$205,"Non-alcoholic",'Attendees'!$A$6:$A$205,"&lt;&gt;"))</x:f>
      </x:c>
      <x:c r="W40" s="13" t="str">
        <x:f>IF(A40="","",COUNTIFS('Attendees'!$B$6:$B$205,A40,'Attendees'!$F$6:$F$205,"Alcohol-inclusive",'Attendees'!$A$6:$A$205,"&lt;&gt;"))</x:f>
      </x:c>
      <x:c r="X40" s="9"/>
      <x:c r="Y40" s="13" t="str">
        <x:f>IF(A40="","",IF(COUNTIFS($A$6:$A$205,A40)&gt;1,"Duplicate booking ID",IF(OR(I40&lt;1,I40&gt;'Dashboard'!$E$10,G40&lt;0,H40&lt;0,G40&lt;&gt;INT(G40),H40&lt;&gt;INT(H40)),"Use 1–5 whole passes",IF(OR(C40="",E40="",F40=""),"Complete buyer name, phone and email",IF(NOT(ISNUMBER(M40)),"Set added charges (0 if none)",IF(AND(S40&lt;&gt;"",COUNTIFS($S$6:$S$205,S40)&gt;1),"Duplicate payment ID",IF(AND(O40="Confirmed",OR(P40&lt;&gt;N40,S40="")),"Verify full payment + payment ID",IF(OR(U40&lt;&gt;I40,V40&lt;&gt;G40,W40&lt;&gt;H40),"Complete matching attendee details",""))))))))</x:f>
      </x:c>
    </x:row>
    <x:row r="41" ht="22" customHeight="1">
      <x:c r="A41" s="9"/>
      <x:c r="B41" s="18"/>
      <x:c r="C41" s="9"/>
      <x:c r="D41" s="9"/>
      <x:c r="E41" s="19"/>
      <x:c r="F41" s="19"/>
      <x:c r="G41" s="9"/>
      <x:c r="H41" s="9"/>
      <x:c r="I41" s="13" t="str">
        <x:f>IF(A41="","",SUM(G41:H41))</x:f>
      </x:c>
      <x:c r="J41" s="20" t="n">
        <x:v>2999</x:v>
      </x:c>
      <x:c r="K41" s="20" t="n">
        <x:v>3999</x:v>
      </x:c>
      <x:c r="L41" s="14" t="str">
        <x:f>IF(A41="","",G41*J41+H41*K41)</x:f>
      </x:c>
      <x:c r="M41" s="20"/>
      <x:c r="N41" s="14" t="str">
        <x:f>IF(A41="","",IF(ISNUMBER(M41),ROUND(L41+M41,2),"Set added charges"))</x:f>
      </x:c>
      <x:c r="O41" s="9"/>
      <x:c r="P41" s="20"/>
      <x:c r="Q41" s="20"/>
      <x:c r="R41" s="19"/>
      <x:c r="S41" s="19"/>
      <x:c r="T41" s="14" t="str">
        <x:f>IF(A41="","",P41-Q41)</x:f>
      </x:c>
      <x:c r="U41" s="13" t="str">
        <x:f>IF(A41="","",COUNTIFS('Attendees'!$B$6:$B$205,A41,'Attendees'!$A$6:$A$205,"&lt;&gt;"))</x:f>
      </x:c>
      <x:c r="V41" s="13" t="str">
        <x:f>IF(A41="","",COUNTIFS('Attendees'!$B$6:$B$205,A41,'Attendees'!$F$6:$F$205,"Non-alcoholic",'Attendees'!$A$6:$A$205,"&lt;&gt;"))</x:f>
      </x:c>
      <x:c r="W41" s="13" t="str">
        <x:f>IF(A41="","",COUNTIFS('Attendees'!$B$6:$B$205,A41,'Attendees'!$F$6:$F$205,"Alcohol-inclusive",'Attendees'!$A$6:$A$205,"&lt;&gt;"))</x:f>
      </x:c>
      <x:c r="X41" s="9"/>
      <x:c r="Y41" s="13" t="str">
        <x:f>IF(A41="","",IF(COUNTIFS($A$6:$A$205,A41)&gt;1,"Duplicate booking ID",IF(OR(I41&lt;1,I41&gt;'Dashboard'!$E$10,G41&lt;0,H41&lt;0,G41&lt;&gt;INT(G41),H41&lt;&gt;INT(H41)),"Use 1–5 whole passes",IF(OR(C41="",E41="",F41=""),"Complete buyer name, phone and email",IF(NOT(ISNUMBER(M41)),"Set added charges (0 if none)",IF(AND(S41&lt;&gt;"",COUNTIFS($S$6:$S$205,S41)&gt;1),"Duplicate payment ID",IF(AND(O41="Confirmed",OR(P41&lt;&gt;N41,S41="")),"Verify full payment + payment ID",IF(OR(U41&lt;&gt;I41,V41&lt;&gt;G41,W41&lt;&gt;H41),"Complete matching attendee details",""))))))))</x:f>
      </x:c>
    </x:row>
    <x:row r="42" ht="22" customHeight="1">
      <x:c r="A42" s="9"/>
      <x:c r="B42" s="18"/>
      <x:c r="C42" s="9"/>
      <x:c r="D42" s="9"/>
      <x:c r="E42" s="19"/>
      <x:c r="F42" s="19"/>
      <x:c r="G42" s="9"/>
      <x:c r="H42" s="9"/>
      <x:c r="I42" s="13" t="str">
        <x:f>IF(A42="","",SUM(G42:H42))</x:f>
      </x:c>
      <x:c r="J42" s="20" t="n">
        <x:v>2999</x:v>
      </x:c>
      <x:c r="K42" s="20" t="n">
        <x:v>3999</x:v>
      </x:c>
      <x:c r="L42" s="14" t="str">
        <x:f>IF(A42="","",G42*J42+H42*K42)</x:f>
      </x:c>
      <x:c r="M42" s="20"/>
      <x:c r="N42" s="14" t="str">
        <x:f>IF(A42="","",IF(ISNUMBER(M42),ROUND(L42+M42,2),"Set added charges"))</x:f>
      </x:c>
      <x:c r="O42" s="9"/>
      <x:c r="P42" s="20"/>
      <x:c r="Q42" s="20"/>
      <x:c r="R42" s="19"/>
      <x:c r="S42" s="19"/>
      <x:c r="T42" s="14" t="str">
        <x:f>IF(A42="","",P42-Q42)</x:f>
      </x:c>
      <x:c r="U42" s="13" t="str">
        <x:f>IF(A42="","",COUNTIFS('Attendees'!$B$6:$B$205,A42,'Attendees'!$A$6:$A$205,"&lt;&gt;"))</x:f>
      </x:c>
      <x:c r="V42" s="13" t="str">
        <x:f>IF(A42="","",COUNTIFS('Attendees'!$B$6:$B$205,A42,'Attendees'!$F$6:$F$205,"Non-alcoholic",'Attendees'!$A$6:$A$205,"&lt;&gt;"))</x:f>
      </x:c>
      <x:c r="W42" s="13" t="str">
        <x:f>IF(A42="","",COUNTIFS('Attendees'!$B$6:$B$205,A42,'Attendees'!$F$6:$F$205,"Alcohol-inclusive",'Attendees'!$A$6:$A$205,"&lt;&gt;"))</x:f>
      </x:c>
      <x:c r="X42" s="9"/>
      <x:c r="Y42" s="13" t="str">
        <x:f>IF(A42="","",IF(COUNTIFS($A$6:$A$205,A42)&gt;1,"Duplicate booking ID",IF(OR(I42&lt;1,I42&gt;'Dashboard'!$E$10,G42&lt;0,H42&lt;0,G42&lt;&gt;INT(G42),H42&lt;&gt;INT(H42)),"Use 1–5 whole passes",IF(OR(C42="",E42="",F42=""),"Complete buyer name, phone and email",IF(NOT(ISNUMBER(M42)),"Set added charges (0 if none)",IF(AND(S42&lt;&gt;"",COUNTIFS($S$6:$S$205,S42)&gt;1),"Duplicate payment ID",IF(AND(O42="Confirmed",OR(P42&lt;&gt;N42,S42="")),"Verify full payment + payment ID",IF(OR(U42&lt;&gt;I42,V42&lt;&gt;G42,W42&lt;&gt;H42),"Complete matching attendee details",""))))))))</x:f>
      </x:c>
    </x:row>
    <x:row r="43" ht="22" customHeight="1">
      <x:c r="A43" s="9"/>
      <x:c r="B43" s="18"/>
      <x:c r="C43" s="9"/>
      <x:c r="D43" s="9"/>
      <x:c r="E43" s="19"/>
      <x:c r="F43" s="19"/>
      <x:c r="G43" s="9"/>
      <x:c r="H43" s="9"/>
      <x:c r="I43" s="13" t="str">
        <x:f>IF(A43="","",SUM(G43:H43))</x:f>
      </x:c>
      <x:c r="J43" s="20" t="n">
        <x:v>2999</x:v>
      </x:c>
      <x:c r="K43" s="20" t="n">
        <x:v>3999</x:v>
      </x:c>
      <x:c r="L43" s="14" t="str">
        <x:f>IF(A43="","",G43*J43+H43*K43)</x:f>
      </x:c>
      <x:c r="M43" s="20"/>
      <x:c r="N43" s="14" t="str">
        <x:f>IF(A43="","",IF(ISNUMBER(M43),ROUND(L43+M43,2),"Set added charges"))</x:f>
      </x:c>
      <x:c r="O43" s="9"/>
      <x:c r="P43" s="20"/>
      <x:c r="Q43" s="20"/>
      <x:c r="R43" s="19"/>
      <x:c r="S43" s="19"/>
      <x:c r="T43" s="14" t="str">
        <x:f>IF(A43="","",P43-Q43)</x:f>
      </x:c>
      <x:c r="U43" s="13" t="str">
        <x:f>IF(A43="","",COUNTIFS('Attendees'!$B$6:$B$205,A43,'Attendees'!$A$6:$A$205,"&lt;&gt;"))</x:f>
      </x:c>
      <x:c r="V43" s="13" t="str">
        <x:f>IF(A43="","",COUNTIFS('Attendees'!$B$6:$B$205,A43,'Attendees'!$F$6:$F$205,"Non-alcoholic",'Attendees'!$A$6:$A$205,"&lt;&gt;"))</x:f>
      </x:c>
      <x:c r="W43" s="13" t="str">
        <x:f>IF(A43="","",COUNTIFS('Attendees'!$B$6:$B$205,A43,'Attendees'!$F$6:$F$205,"Alcohol-inclusive",'Attendees'!$A$6:$A$205,"&lt;&gt;"))</x:f>
      </x:c>
      <x:c r="X43" s="9"/>
      <x:c r="Y43" s="13" t="str">
        <x:f>IF(A43="","",IF(COUNTIFS($A$6:$A$205,A43)&gt;1,"Duplicate booking ID",IF(OR(I43&lt;1,I43&gt;'Dashboard'!$E$10,G43&lt;0,H43&lt;0,G43&lt;&gt;INT(G43),H43&lt;&gt;INT(H43)),"Use 1–5 whole passes",IF(OR(C43="",E43="",F43=""),"Complete buyer name, phone and email",IF(NOT(ISNUMBER(M43)),"Set added charges (0 if none)",IF(AND(S43&lt;&gt;"",COUNTIFS($S$6:$S$205,S43)&gt;1),"Duplicate payment ID",IF(AND(O43="Confirmed",OR(P43&lt;&gt;N43,S43="")),"Verify full payment + payment ID",IF(OR(U43&lt;&gt;I43,V43&lt;&gt;G43,W43&lt;&gt;H43),"Complete matching attendee details",""))))))))</x:f>
      </x:c>
    </x:row>
    <x:row r="44" ht="22" customHeight="1">
      <x:c r="A44" s="9"/>
      <x:c r="B44" s="18"/>
      <x:c r="C44" s="9"/>
      <x:c r="D44" s="9"/>
      <x:c r="E44" s="19"/>
      <x:c r="F44" s="19"/>
      <x:c r="G44" s="9"/>
      <x:c r="H44" s="9"/>
      <x:c r="I44" s="13" t="str">
        <x:f>IF(A44="","",SUM(G44:H44))</x:f>
      </x:c>
      <x:c r="J44" s="20" t="n">
        <x:v>2999</x:v>
      </x:c>
      <x:c r="K44" s="20" t="n">
        <x:v>3999</x:v>
      </x:c>
      <x:c r="L44" s="14" t="str">
        <x:f>IF(A44="","",G44*J44+H44*K44)</x:f>
      </x:c>
      <x:c r="M44" s="20"/>
      <x:c r="N44" s="14" t="str">
        <x:f>IF(A44="","",IF(ISNUMBER(M44),ROUND(L44+M44,2),"Set added charges"))</x:f>
      </x:c>
      <x:c r="O44" s="9"/>
      <x:c r="P44" s="20"/>
      <x:c r="Q44" s="20"/>
      <x:c r="R44" s="19"/>
      <x:c r="S44" s="19"/>
      <x:c r="T44" s="14" t="str">
        <x:f>IF(A44="","",P44-Q44)</x:f>
      </x:c>
      <x:c r="U44" s="13" t="str">
        <x:f>IF(A44="","",COUNTIFS('Attendees'!$B$6:$B$205,A44,'Attendees'!$A$6:$A$205,"&lt;&gt;"))</x:f>
      </x:c>
      <x:c r="V44" s="13" t="str">
        <x:f>IF(A44="","",COUNTIFS('Attendees'!$B$6:$B$205,A44,'Attendees'!$F$6:$F$205,"Non-alcoholic",'Attendees'!$A$6:$A$205,"&lt;&gt;"))</x:f>
      </x:c>
      <x:c r="W44" s="13" t="str">
        <x:f>IF(A44="","",COUNTIFS('Attendees'!$B$6:$B$205,A44,'Attendees'!$F$6:$F$205,"Alcohol-inclusive",'Attendees'!$A$6:$A$205,"&lt;&gt;"))</x:f>
      </x:c>
      <x:c r="X44" s="9"/>
      <x:c r="Y44" s="13" t="str">
        <x:f>IF(A44="","",IF(COUNTIFS($A$6:$A$205,A44)&gt;1,"Duplicate booking ID",IF(OR(I44&lt;1,I44&gt;'Dashboard'!$E$10,G44&lt;0,H44&lt;0,G44&lt;&gt;INT(G44),H44&lt;&gt;INT(H44)),"Use 1–5 whole passes",IF(OR(C44="",E44="",F44=""),"Complete buyer name, phone and email",IF(NOT(ISNUMBER(M44)),"Set added charges (0 if none)",IF(AND(S44&lt;&gt;"",COUNTIFS($S$6:$S$205,S44)&gt;1),"Duplicate payment ID",IF(AND(O44="Confirmed",OR(P44&lt;&gt;N44,S44="")),"Verify full payment + payment ID",IF(OR(U44&lt;&gt;I44,V44&lt;&gt;G44,W44&lt;&gt;H44),"Complete matching attendee details",""))))))))</x:f>
      </x:c>
    </x:row>
    <x:row r="45" ht="22" customHeight="1">
      <x:c r="A45" s="9"/>
      <x:c r="B45" s="18"/>
      <x:c r="C45" s="9"/>
      <x:c r="D45" s="9"/>
      <x:c r="E45" s="19"/>
      <x:c r="F45" s="19"/>
      <x:c r="G45" s="9"/>
      <x:c r="H45" s="9"/>
      <x:c r="I45" s="13" t="str">
        <x:f>IF(A45="","",SUM(G45:H45))</x:f>
      </x:c>
      <x:c r="J45" s="20" t="n">
        <x:v>2999</x:v>
      </x:c>
      <x:c r="K45" s="20" t="n">
        <x:v>3999</x:v>
      </x:c>
      <x:c r="L45" s="14" t="str">
        <x:f>IF(A45="","",G45*J45+H45*K45)</x:f>
      </x:c>
      <x:c r="M45" s="20"/>
      <x:c r="N45" s="14" t="str">
        <x:f>IF(A45="","",IF(ISNUMBER(M45),ROUND(L45+M45,2),"Set added charges"))</x:f>
      </x:c>
      <x:c r="O45" s="9"/>
      <x:c r="P45" s="20"/>
      <x:c r="Q45" s="20"/>
      <x:c r="R45" s="19"/>
      <x:c r="S45" s="19"/>
      <x:c r="T45" s="14" t="str">
        <x:f>IF(A45="","",P45-Q45)</x:f>
      </x:c>
      <x:c r="U45" s="13" t="str">
        <x:f>IF(A45="","",COUNTIFS('Attendees'!$B$6:$B$205,A45,'Attendees'!$A$6:$A$205,"&lt;&gt;"))</x:f>
      </x:c>
      <x:c r="V45" s="13" t="str">
        <x:f>IF(A45="","",COUNTIFS('Attendees'!$B$6:$B$205,A45,'Attendees'!$F$6:$F$205,"Non-alcoholic",'Attendees'!$A$6:$A$205,"&lt;&gt;"))</x:f>
      </x:c>
      <x:c r="W45" s="13" t="str">
        <x:f>IF(A45="","",COUNTIFS('Attendees'!$B$6:$B$205,A45,'Attendees'!$F$6:$F$205,"Alcohol-inclusive",'Attendees'!$A$6:$A$205,"&lt;&gt;"))</x:f>
      </x:c>
      <x:c r="X45" s="9"/>
      <x:c r="Y45" s="13" t="str">
        <x:f>IF(A45="","",IF(COUNTIFS($A$6:$A$205,A45)&gt;1,"Duplicate booking ID",IF(OR(I45&lt;1,I45&gt;'Dashboard'!$E$10,G45&lt;0,H45&lt;0,G45&lt;&gt;INT(G45),H45&lt;&gt;INT(H45)),"Use 1–5 whole passes",IF(OR(C45="",E45="",F45=""),"Complete buyer name, phone and email",IF(NOT(ISNUMBER(M45)),"Set added charges (0 if none)",IF(AND(S45&lt;&gt;"",COUNTIFS($S$6:$S$205,S45)&gt;1),"Duplicate payment ID",IF(AND(O45="Confirmed",OR(P45&lt;&gt;N45,S45="")),"Verify full payment + payment ID",IF(OR(U45&lt;&gt;I45,V45&lt;&gt;G45,W45&lt;&gt;H45),"Complete matching attendee details",""))))))))</x:f>
      </x:c>
    </x:row>
    <x:row r="46" ht="22" customHeight="1">
      <x:c r="A46" s="9"/>
      <x:c r="B46" s="18"/>
      <x:c r="C46" s="9"/>
      <x:c r="D46" s="9"/>
      <x:c r="E46" s="19"/>
      <x:c r="F46" s="19"/>
      <x:c r="G46" s="9"/>
      <x:c r="H46" s="9"/>
      <x:c r="I46" s="13" t="str">
        <x:f>IF(A46="","",SUM(G46:H46))</x:f>
      </x:c>
      <x:c r="J46" s="20" t="n">
        <x:v>2999</x:v>
      </x:c>
      <x:c r="K46" s="20" t="n">
        <x:v>3999</x:v>
      </x:c>
      <x:c r="L46" s="14" t="str">
        <x:f>IF(A46="","",G46*J46+H46*K46)</x:f>
      </x:c>
      <x:c r="M46" s="20"/>
      <x:c r="N46" s="14" t="str">
        <x:f>IF(A46="","",IF(ISNUMBER(M46),ROUND(L46+M46,2),"Set added charges"))</x:f>
      </x:c>
      <x:c r="O46" s="9"/>
      <x:c r="P46" s="20"/>
      <x:c r="Q46" s="20"/>
      <x:c r="R46" s="19"/>
      <x:c r="S46" s="19"/>
      <x:c r="T46" s="14" t="str">
        <x:f>IF(A46="","",P46-Q46)</x:f>
      </x:c>
      <x:c r="U46" s="13" t="str">
        <x:f>IF(A46="","",COUNTIFS('Attendees'!$B$6:$B$205,A46,'Attendees'!$A$6:$A$205,"&lt;&gt;"))</x:f>
      </x:c>
      <x:c r="V46" s="13" t="str">
        <x:f>IF(A46="","",COUNTIFS('Attendees'!$B$6:$B$205,A46,'Attendees'!$F$6:$F$205,"Non-alcoholic",'Attendees'!$A$6:$A$205,"&lt;&gt;"))</x:f>
      </x:c>
      <x:c r="W46" s="13" t="str">
        <x:f>IF(A46="","",COUNTIFS('Attendees'!$B$6:$B$205,A46,'Attendees'!$F$6:$F$205,"Alcohol-inclusive",'Attendees'!$A$6:$A$205,"&lt;&gt;"))</x:f>
      </x:c>
      <x:c r="X46" s="9"/>
      <x:c r="Y46" s="13" t="str">
        <x:f>IF(A46="","",IF(COUNTIFS($A$6:$A$205,A46)&gt;1,"Duplicate booking ID",IF(OR(I46&lt;1,I46&gt;'Dashboard'!$E$10,G46&lt;0,H46&lt;0,G46&lt;&gt;INT(G46),H46&lt;&gt;INT(H46)),"Use 1–5 whole passes",IF(OR(C46="",E46="",F46=""),"Complete buyer name, phone and email",IF(NOT(ISNUMBER(M46)),"Set added charges (0 if none)",IF(AND(S46&lt;&gt;"",COUNTIFS($S$6:$S$205,S46)&gt;1),"Duplicate payment ID",IF(AND(O46="Confirmed",OR(P46&lt;&gt;N46,S46="")),"Verify full payment + payment ID",IF(OR(U46&lt;&gt;I46,V46&lt;&gt;G46,W46&lt;&gt;H46),"Complete matching attendee details",""))))))))</x:f>
      </x:c>
    </x:row>
    <x:row r="47" ht="22" customHeight="1">
      <x:c r="A47" s="9"/>
      <x:c r="B47" s="18"/>
      <x:c r="C47" s="9"/>
      <x:c r="D47" s="9"/>
      <x:c r="E47" s="19"/>
      <x:c r="F47" s="19"/>
      <x:c r="G47" s="9"/>
      <x:c r="H47" s="9"/>
      <x:c r="I47" s="13" t="str">
        <x:f>IF(A47="","",SUM(G47:H47))</x:f>
      </x:c>
      <x:c r="J47" s="20" t="n">
        <x:v>2999</x:v>
      </x:c>
      <x:c r="K47" s="20" t="n">
        <x:v>3999</x:v>
      </x:c>
      <x:c r="L47" s="14" t="str">
        <x:f>IF(A47="","",G47*J47+H47*K47)</x:f>
      </x:c>
      <x:c r="M47" s="20"/>
      <x:c r="N47" s="14" t="str">
        <x:f>IF(A47="","",IF(ISNUMBER(M47),ROUND(L47+M47,2),"Set added charges"))</x:f>
      </x:c>
      <x:c r="O47" s="9"/>
      <x:c r="P47" s="20"/>
      <x:c r="Q47" s="20"/>
      <x:c r="R47" s="19"/>
      <x:c r="S47" s="19"/>
      <x:c r="T47" s="14" t="str">
        <x:f>IF(A47="","",P47-Q47)</x:f>
      </x:c>
      <x:c r="U47" s="13" t="str">
        <x:f>IF(A47="","",COUNTIFS('Attendees'!$B$6:$B$205,A47,'Attendees'!$A$6:$A$205,"&lt;&gt;"))</x:f>
      </x:c>
      <x:c r="V47" s="13" t="str">
        <x:f>IF(A47="","",COUNTIFS('Attendees'!$B$6:$B$205,A47,'Attendees'!$F$6:$F$205,"Non-alcoholic",'Attendees'!$A$6:$A$205,"&lt;&gt;"))</x:f>
      </x:c>
      <x:c r="W47" s="13" t="str">
        <x:f>IF(A47="","",COUNTIFS('Attendees'!$B$6:$B$205,A47,'Attendees'!$F$6:$F$205,"Alcohol-inclusive",'Attendees'!$A$6:$A$205,"&lt;&gt;"))</x:f>
      </x:c>
      <x:c r="X47" s="9"/>
      <x:c r="Y47" s="13" t="str">
        <x:f>IF(A47="","",IF(COUNTIFS($A$6:$A$205,A47)&gt;1,"Duplicate booking ID",IF(OR(I47&lt;1,I47&gt;'Dashboard'!$E$10,G47&lt;0,H47&lt;0,G47&lt;&gt;INT(G47),H47&lt;&gt;INT(H47)),"Use 1–5 whole passes",IF(OR(C47="",E47="",F47=""),"Complete buyer name, phone and email",IF(NOT(ISNUMBER(M47)),"Set added charges (0 if none)",IF(AND(S47&lt;&gt;"",COUNTIFS($S$6:$S$205,S47)&gt;1),"Duplicate payment ID",IF(AND(O47="Confirmed",OR(P47&lt;&gt;N47,S47="")),"Verify full payment + payment ID",IF(OR(U47&lt;&gt;I47,V47&lt;&gt;G47,W47&lt;&gt;H47),"Complete matching attendee details",""))))))))</x:f>
      </x:c>
    </x:row>
    <x:row r="48" ht="22" customHeight="1">
      <x:c r="A48" s="9"/>
      <x:c r="B48" s="18"/>
      <x:c r="C48" s="9"/>
      <x:c r="D48" s="9"/>
      <x:c r="E48" s="19"/>
      <x:c r="F48" s="19"/>
      <x:c r="G48" s="9"/>
      <x:c r="H48" s="9"/>
      <x:c r="I48" s="13" t="str">
        <x:f>IF(A48="","",SUM(G48:H48))</x:f>
      </x:c>
      <x:c r="J48" s="20" t="n">
        <x:v>2999</x:v>
      </x:c>
      <x:c r="K48" s="20" t="n">
        <x:v>3999</x:v>
      </x:c>
      <x:c r="L48" s="14" t="str">
        <x:f>IF(A48="","",G48*J48+H48*K48)</x:f>
      </x:c>
      <x:c r="M48" s="20"/>
      <x:c r="N48" s="14" t="str">
        <x:f>IF(A48="","",IF(ISNUMBER(M48),ROUND(L48+M48,2),"Set added charges"))</x:f>
      </x:c>
      <x:c r="O48" s="9"/>
      <x:c r="P48" s="20"/>
      <x:c r="Q48" s="20"/>
      <x:c r="R48" s="19"/>
      <x:c r="S48" s="19"/>
      <x:c r="T48" s="14" t="str">
        <x:f>IF(A48="","",P48-Q48)</x:f>
      </x:c>
      <x:c r="U48" s="13" t="str">
        <x:f>IF(A48="","",COUNTIFS('Attendees'!$B$6:$B$205,A48,'Attendees'!$A$6:$A$205,"&lt;&gt;"))</x:f>
      </x:c>
      <x:c r="V48" s="13" t="str">
        <x:f>IF(A48="","",COUNTIFS('Attendees'!$B$6:$B$205,A48,'Attendees'!$F$6:$F$205,"Non-alcoholic",'Attendees'!$A$6:$A$205,"&lt;&gt;"))</x:f>
      </x:c>
      <x:c r="W48" s="13" t="str">
        <x:f>IF(A48="","",COUNTIFS('Attendees'!$B$6:$B$205,A48,'Attendees'!$F$6:$F$205,"Alcohol-inclusive",'Attendees'!$A$6:$A$205,"&lt;&gt;"))</x:f>
      </x:c>
      <x:c r="X48" s="9"/>
      <x:c r="Y48" s="13" t="str">
        <x:f>IF(A48="","",IF(COUNTIFS($A$6:$A$205,A48)&gt;1,"Duplicate booking ID",IF(OR(I48&lt;1,I48&gt;'Dashboard'!$E$10,G48&lt;0,H48&lt;0,G48&lt;&gt;INT(G48),H48&lt;&gt;INT(H48)),"Use 1–5 whole passes",IF(OR(C48="",E48="",F48=""),"Complete buyer name, phone and email",IF(NOT(ISNUMBER(M48)),"Set added charges (0 if none)",IF(AND(S48&lt;&gt;"",COUNTIFS($S$6:$S$205,S48)&gt;1),"Duplicate payment ID",IF(AND(O48="Confirmed",OR(P48&lt;&gt;N48,S48="")),"Verify full payment + payment ID",IF(OR(U48&lt;&gt;I48,V48&lt;&gt;G48,W48&lt;&gt;H48),"Complete matching attendee details",""))))))))</x:f>
      </x:c>
    </x:row>
    <x:row r="49" ht="22" customHeight="1">
      <x:c r="A49" s="9"/>
      <x:c r="B49" s="18"/>
      <x:c r="C49" s="9"/>
      <x:c r="D49" s="9"/>
      <x:c r="E49" s="19"/>
      <x:c r="F49" s="19"/>
      <x:c r="G49" s="9"/>
      <x:c r="H49" s="9"/>
      <x:c r="I49" s="13" t="str">
        <x:f>IF(A49="","",SUM(G49:H49))</x:f>
      </x:c>
      <x:c r="J49" s="20" t="n">
        <x:v>2999</x:v>
      </x:c>
      <x:c r="K49" s="20" t="n">
        <x:v>3999</x:v>
      </x:c>
      <x:c r="L49" s="14" t="str">
        <x:f>IF(A49="","",G49*J49+H49*K49)</x:f>
      </x:c>
      <x:c r="M49" s="20"/>
      <x:c r="N49" s="14" t="str">
        <x:f>IF(A49="","",IF(ISNUMBER(M49),ROUND(L49+M49,2),"Set added charges"))</x:f>
      </x:c>
      <x:c r="O49" s="9"/>
      <x:c r="P49" s="20"/>
      <x:c r="Q49" s="20"/>
      <x:c r="R49" s="19"/>
      <x:c r="S49" s="19"/>
      <x:c r="T49" s="14" t="str">
        <x:f>IF(A49="","",P49-Q49)</x:f>
      </x:c>
      <x:c r="U49" s="13" t="str">
        <x:f>IF(A49="","",COUNTIFS('Attendees'!$B$6:$B$205,A49,'Attendees'!$A$6:$A$205,"&lt;&gt;"))</x:f>
      </x:c>
      <x:c r="V49" s="13" t="str">
        <x:f>IF(A49="","",COUNTIFS('Attendees'!$B$6:$B$205,A49,'Attendees'!$F$6:$F$205,"Non-alcoholic",'Attendees'!$A$6:$A$205,"&lt;&gt;"))</x:f>
      </x:c>
      <x:c r="W49" s="13" t="str">
        <x:f>IF(A49="","",COUNTIFS('Attendees'!$B$6:$B$205,A49,'Attendees'!$F$6:$F$205,"Alcohol-inclusive",'Attendees'!$A$6:$A$205,"&lt;&gt;"))</x:f>
      </x:c>
      <x:c r="X49" s="9"/>
      <x:c r="Y49" s="13" t="str">
        <x:f>IF(A49="","",IF(COUNTIFS($A$6:$A$205,A49)&gt;1,"Duplicate booking ID",IF(OR(I49&lt;1,I49&gt;'Dashboard'!$E$10,G49&lt;0,H49&lt;0,G49&lt;&gt;INT(G49),H49&lt;&gt;INT(H49)),"Use 1–5 whole passes",IF(OR(C49="",E49="",F49=""),"Complete buyer name, phone and email",IF(NOT(ISNUMBER(M49)),"Set added charges (0 if none)",IF(AND(S49&lt;&gt;"",COUNTIFS($S$6:$S$205,S49)&gt;1),"Duplicate payment ID",IF(AND(O49="Confirmed",OR(P49&lt;&gt;N49,S49="")),"Verify full payment + payment ID",IF(OR(U49&lt;&gt;I49,V49&lt;&gt;G49,W49&lt;&gt;H49),"Complete matching attendee details",""))))))))</x:f>
      </x:c>
    </x:row>
    <x:row r="50" ht="22" customHeight="1">
      <x:c r="A50" s="9"/>
      <x:c r="B50" s="18"/>
      <x:c r="C50" s="9"/>
      <x:c r="D50" s="9"/>
      <x:c r="E50" s="19"/>
      <x:c r="F50" s="19"/>
      <x:c r="G50" s="9"/>
      <x:c r="H50" s="9"/>
      <x:c r="I50" s="13" t="str">
        <x:f>IF(A50="","",SUM(G50:H50))</x:f>
      </x:c>
      <x:c r="J50" s="20" t="n">
        <x:v>2999</x:v>
      </x:c>
      <x:c r="K50" s="20" t="n">
        <x:v>3999</x:v>
      </x:c>
      <x:c r="L50" s="14" t="str">
        <x:f>IF(A50="","",G50*J50+H50*K50)</x:f>
      </x:c>
      <x:c r="M50" s="20"/>
      <x:c r="N50" s="14" t="str">
        <x:f>IF(A50="","",IF(ISNUMBER(M50),ROUND(L50+M50,2),"Set added charges"))</x:f>
      </x:c>
      <x:c r="O50" s="9"/>
      <x:c r="P50" s="20"/>
      <x:c r="Q50" s="20"/>
      <x:c r="R50" s="19"/>
      <x:c r="S50" s="19"/>
      <x:c r="T50" s="14" t="str">
        <x:f>IF(A50="","",P50-Q50)</x:f>
      </x:c>
      <x:c r="U50" s="13" t="str">
        <x:f>IF(A50="","",COUNTIFS('Attendees'!$B$6:$B$205,A50,'Attendees'!$A$6:$A$205,"&lt;&gt;"))</x:f>
      </x:c>
      <x:c r="V50" s="13" t="str">
        <x:f>IF(A50="","",COUNTIFS('Attendees'!$B$6:$B$205,A50,'Attendees'!$F$6:$F$205,"Non-alcoholic",'Attendees'!$A$6:$A$205,"&lt;&gt;"))</x:f>
      </x:c>
      <x:c r="W50" s="13" t="str">
        <x:f>IF(A50="","",COUNTIFS('Attendees'!$B$6:$B$205,A50,'Attendees'!$F$6:$F$205,"Alcohol-inclusive",'Attendees'!$A$6:$A$205,"&lt;&gt;"))</x:f>
      </x:c>
      <x:c r="X50" s="9"/>
      <x:c r="Y50" s="13" t="str">
        <x:f>IF(A50="","",IF(COUNTIFS($A$6:$A$205,A50)&gt;1,"Duplicate booking ID",IF(OR(I50&lt;1,I50&gt;'Dashboard'!$E$10,G50&lt;0,H50&lt;0,G50&lt;&gt;INT(G50),H50&lt;&gt;INT(H50)),"Use 1–5 whole passes",IF(OR(C50="",E50="",F50=""),"Complete buyer name, phone and email",IF(NOT(ISNUMBER(M50)),"Set added charges (0 if none)",IF(AND(S50&lt;&gt;"",COUNTIFS($S$6:$S$205,S50)&gt;1),"Duplicate payment ID",IF(AND(O50="Confirmed",OR(P50&lt;&gt;N50,S50="")),"Verify full payment + payment ID",IF(OR(U50&lt;&gt;I50,V50&lt;&gt;G50,W50&lt;&gt;H50),"Complete matching attendee details",""))))))))</x:f>
      </x:c>
    </x:row>
    <x:row r="51" ht="22" customHeight="1">
      <x:c r="A51" s="9"/>
      <x:c r="B51" s="18"/>
      <x:c r="C51" s="9"/>
      <x:c r="D51" s="9"/>
      <x:c r="E51" s="19"/>
      <x:c r="F51" s="19"/>
      <x:c r="G51" s="9"/>
      <x:c r="H51" s="9"/>
      <x:c r="I51" s="13" t="str">
        <x:f>IF(A51="","",SUM(G51:H51))</x:f>
      </x:c>
      <x:c r="J51" s="20" t="n">
        <x:v>2999</x:v>
      </x:c>
      <x:c r="K51" s="20" t="n">
        <x:v>3999</x:v>
      </x:c>
      <x:c r="L51" s="14" t="str">
        <x:f>IF(A51="","",G51*J51+H51*K51)</x:f>
      </x:c>
      <x:c r="M51" s="20"/>
      <x:c r="N51" s="14" t="str">
        <x:f>IF(A51="","",IF(ISNUMBER(M51),ROUND(L51+M51,2),"Set added charges"))</x:f>
      </x:c>
      <x:c r="O51" s="9"/>
      <x:c r="P51" s="20"/>
      <x:c r="Q51" s="20"/>
      <x:c r="R51" s="19"/>
      <x:c r="S51" s="19"/>
      <x:c r="T51" s="14" t="str">
        <x:f>IF(A51="","",P51-Q51)</x:f>
      </x:c>
      <x:c r="U51" s="13" t="str">
        <x:f>IF(A51="","",COUNTIFS('Attendees'!$B$6:$B$205,A51,'Attendees'!$A$6:$A$205,"&lt;&gt;"))</x:f>
      </x:c>
      <x:c r="V51" s="13" t="str">
        <x:f>IF(A51="","",COUNTIFS('Attendees'!$B$6:$B$205,A51,'Attendees'!$F$6:$F$205,"Non-alcoholic",'Attendees'!$A$6:$A$205,"&lt;&gt;"))</x:f>
      </x:c>
      <x:c r="W51" s="13" t="str">
        <x:f>IF(A51="","",COUNTIFS('Attendees'!$B$6:$B$205,A51,'Attendees'!$F$6:$F$205,"Alcohol-inclusive",'Attendees'!$A$6:$A$205,"&lt;&gt;"))</x:f>
      </x:c>
      <x:c r="X51" s="9"/>
      <x:c r="Y51" s="13" t="str">
        <x:f>IF(A51="","",IF(COUNTIFS($A$6:$A$205,A51)&gt;1,"Duplicate booking ID",IF(OR(I51&lt;1,I51&gt;'Dashboard'!$E$10,G51&lt;0,H51&lt;0,G51&lt;&gt;INT(G51),H51&lt;&gt;INT(H51)),"Use 1–5 whole passes",IF(OR(C51="",E51="",F51=""),"Complete buyer name, phone and email",IF(NOT(ISNUMBER(M51)),"Set added charges (0 if none)",IF(AND(S51&lt;&gt;"",COUNTIFS($S$6:$S$205,S51)&gt;1),"Duplicate payment ID",IF(AND(O51="Confirmed",OR(P51&lt;&gt;N51,S51="")),"Verify full payment + payment ID",IF(OR(U51&lt;&gt;I51,V51&lt;&gt;G51,W51&lt;&gt;H51),"Complete matching attendee details",""))))))))</x:f>
      </x:c>
    </x:row>
    <x:row r="52" ht="22" customHeight="1">
      <x:c r="A52" s="9"/>
      <x:c r="B52" s="18"/>
      <x:c r="C52" s="9"/>
      <x:c r="D52" s="9"/>
      <x:c r="E52" s="19"/>
      <x:c r="F52" s="19"/>
      <x:c r="G52" s="9"/>
      <x:c r="H52" s="9"/>
      <x:c r="I52" s="13" t="str">
        <x:f>IF(A52="","",SUM(G52:H52))</x:f>
      </x:c>
      <x:c r="J52" s="20" t="n">
        <x:v>2999</x:v>
      </x:c>
      <x:c r="K52" s="20" t="n">
        <x:v>3999</x:v>
      </x:c>
      <x:c r="L52" s="14" t="str">
        <x:f>IF(A52="","",G52*J52+H52*K52)</x:f>
      </x:c>
      <x:c r="M52" s="20"/>
      <x:c r="N52" s="14" t="str">
        <x:f>IF(A52="","",IF(ISNUMBER(M52),ROUND(L52+M52,2),"Set added charges"))</x:f>
      </x:c>
      <x:c r="O52" s="9"/>
      <x:c r="P52" s="20"/>
      <x:c r="Q52" s="20"/>
      <x:c r="R52" s="19"/>
      <x:c r="S52" s="19"/>
      <x:c r="T52" s="14" t="str">
        <x:f>IF(A52="","",P52-Q52)</x:f>
      </x:c>
      <x:c r="U52" s="13" t="str">
        <x:f>IF(A52="","",COUNTIFS('Attendees'!$B$6:$B$205,A52,'Attendees'!$A$6:$A$205,"&lt;&gt;"))</x:f>
      </x:c>
      <x:c r="V52" s="13" t="str">
        <x:f>IF(A52="","",COUNTIFS('Attendees'!$B$6:$B$205,A52,'Attendees'!$F$6:$F$205,"Non-alcoholic",'Attendees'!$A$6:$A$205,"&lt;&gt;"))</x:f>
      </x:c>
      <x:c r="W52" s="13" t="str">
        <x:f>IF(A52="","",COUNTIFS('Attendees'!$B$6:$B$205,A52,'Attendees'!$F$6:$F$205,"Alcohol-inclusive",'Attendees'!$A$6:$A$205,"&lt;&gt;"))</x:f>
      </x:c>
      <x:c r="X52" s="9"/>
      <x:c r="Y52" s="13" t="str">
        <x:f>IF(A52="","",IF(COUNTIFS($A$6:$A$205,A52)&gt;1,"Duplicate booking ID",IF(OR(I52&lt;1,I52&gt;'Dashboard'!$E$10,G52&lt;0,H52&lt;0,G52&lt;&gt;INT(G52),H52&lt;&gt;INT(H52)),"Use 1–5 whole passes",IF(OR(C52="",E52="",F52=""),"Complete buyer name, phone and email",IF(NOT(ISNUMBER(M52)),"Set added charges (0 if none)",IF(AND(S52&lt;&gt;"",COUNTIFS($S$6:$S$205,S52)&gt;1),"Duplicate payment ID",IF(AND(O52="Confirmed",OR(P52&lt;&gt;N52,S52="")),"Verify full payment + payment ID",IF(OR(U52&lt;&gt;I52,V52&lt;&gt;G52,W52&lt;&gt;H52),"Complete matching attendee details",""))))))))</x:f>
      </x:c>
    </x:row>
    <x:row r="53" ht="22" customHeight="1">
      <x:c r="A53" s="9"/>
      <x:c r="B53" s="18"/>
      <x:c r="C53" s="9"/>
      <x:c r="D53" s="9"/>
      <x:c r="E53" s="19"/>
      <x:c r="F53" s="19"/>
      <x:c r="G53" s="9"/>
      <x:c r="H53" s="9"/>
      <x:c r="I53" s="13" t="str">
        <x:f>IF(A53="","",SUM(G53:H53))</x:f>
      </x:c>
      <x:c r="J53" s="20" t="n">
        <x:v>2999</x:v>
      </x:c>
      <x:c r="K53" s="20" t="n">
        <x:v>3999</x:v>
      </x:c>
      <x:c r="L53" s="14" t="str">
        <x:f>IF(A53="","",G53*J53+H53*K53)</x:f>
      </x:c>
      <x:c r="M53" s="20"/>
      <x:c r="N53" s="14" t="str">
        <x:f>IF(A53="","",IF(ISNUMBER(M53),ROUND(L53+M53,2),"Set added charges"))</x:f>
      </x:c>
      <x:c r="O53" s="9"/>
      <x:c r="P53" s="20"/>
      <x:c r="Q53" s="20"/>
      <x:c r="R53" s="19"/>
      <x:c r="S53" s="19"/>
      <x:c r="T53" s="14" t="str">
        <x:f>IF(A53="","",P53-Q53)</x:f>
      </x:c>
      <x:c r="U53" s="13" t="str">
        <x:f>IF(A53="","",COUNTIFS('Attendees'!$B$6:$B$205,A53,'Attendees'!$A$6:$A$205,"&lt;&gt;"))</x:f>
      </x:c>
      <x:c r="V53" s="13" t="str">
        <x:f>IF(A53="","",COUNTIFS('Attendees'!$B$6:$B$205,A53,'Attendees'!$F$6:$F$205,"Non-alcoholic",'Attendees'!$A$6:$A$205,"&lt;&gt;"))</x:f>
      </x:c>
      <x:c r="W53" s="13" t="str">
        <x:f>IF(A53="","",COUNTIFS('Attendees'!$B$6:$B$205,A53,'Attendees'!$F$6:$F$205,"Alcohol-inclusive",'Attendees'!$A$6:$A$205,"&lt;&gt;"))</x:f>
      </x:c>
      <x:c r="X53" s="9"/>
      <x:c r="Y53" s="13" t="str">
        <x:f>IF(A53="","",IF(COUNTIFS($A$6:$A$205,A53)&gt;1,"Duplicate booking ID",IF(OR(I53&lt;1,I53&gt;'Dashboard'!$E$10,G53&lt;0,H53&lt;0,G53&lt;&gt;INT(G53),H53&lt;&gt;INT(H53)),"Use 1–5 whole passes",IF(OR(C53="",E53="",F53=""),"Complete buyer name, phone and email",IF(NOT(ISNUMBER(M53)),"Set added charges (0 if none)",IF(AND(S53&lt;&gt;"",COUNTIFS($S$6:$S$205,S53)&gt;1),"Duplicate payment ID",IF(AND(O53="Confirmed",OR(P53&lt;&gt;N53,S53="")),"Verify full payment + payment ID",IF(OR(U53&lt;&gt;I53,V53&lt;&gt;G53,W53&lt;&gt;H53),"Complete matching attendee details",""))))))))</x:f>
      </x:c>
    </x:row>
    <x:row r="54" ht="22" customHeight="1">
      <x:c r="A54" s="9"/>
      <x:c r="B54" s="18"/>
      <x:c r="C54" s="9"/>
      <x:c r="D54" s="9"/>
      <x:c r="E54" s="19"/>
      <x:c r="F54" s="19"/>
      <x:c r="G54" s="9"/>
      <x:c r="H54" s="9"/>
      <x:c r="I54" s="13" t="str">
        <x:f>IF(A54="","",SUM(G54:H54))</x:f>
      </x:c>
      <x:c r="J54" s="20" t="n">
        <x:v>2999</x:v>
      </x:c>
      <x:c r="K54" s="20" t="n">
        <x:v>3999</x:v>
      </x:c>
      <x:c r="L54" s="14" t="str">
        <x:f>IF(A54="","",G54*J54+H54*K54)</x:f>
      </x:c>
      <x:c r="M54" s="20"/>
      <x:c r="N54" s="14" t="str">
        <x:f>IF(A54="","",IF(ISNUMBER(M54),ROUND(L54+M54,2),"Set added charges"))</x:f>
      </x:c>
      <x:c r="O54" s="9"/>
      <x:c r="P54" s="20"/>
      <x:c r="Q54" s="20"/>
      <x:c r="R54" s="19"/>
      <x:c r="S54" s="19"/>
      <x:c r="T54" s="14" t="str">
        <x:f>IF(A54="","",P54-Q54)</x:f>
      </x:c>
      <x:c r="U54" s="13" t="str">
        <x:f>IF(A54="","",COUNTIFS('Attendees'!$B$6:$B$205,A54,'Attendees'!$A$6:$A$205,"&lt;&gt;"))</x:f>
      </x:c>
      <x:c r="V54" s="13" t="str">
        <x:f>IF(A54="","",COUNTIFS('Attendees'!$B$6:$B$205,A54,'Attendees'!$F$6:$F$205,"Non-alcoholic",'Attendees'!$A$6:$A$205,"&lt;&gt;"))</x:f>
      </x:c>
      <x:c r="W54" s="13" t="str">
        <x:f>IF(A54="","",COUNTIFS('Attendees'!$B$6:$B$205,A54,'Attendees'!$F$6:$F$205,"Alcohol-inclusive",'Attendees'!$A$6:$A$205,"&lt;&gt;"))</x:f>
      </x:c>
      <x:c r="X54" s="9"/>
      <x:c r="Y54" s="13" t="str">
        <x:f>IF(A54="","",IF(COUNTIFS($A$6:$A$205,A54)&gt;1,"Duplicate booking ID",IF(OR(I54&lt;1,I54&gt;'Dashboard'!$E$10,G54&lt;0,H54&lt;0,G54&lt;&gt;INT(G54),H54&lt;&gt;INT(H54)),"Use 1–5 whole passes",IF(OR(C54="",E54="",F54=""),"Complete buyer name, phone and email",IF(NOT(ISNUMBER(M54)),"Set added charges (0 if none)",IF(AND(S54&lt;&gt;"",COUNTIFS($S$6:$S$205,S54)&gt;1),"Duplicate payment ID",IF(AND(O54="Confirmed",OR(P54&lt;&gt;N54,S54="")),"Verify full payment + payment ID",IF(OR(U54&lt;&gt;I54,V54&lt;&gt;G54,W54&lt;&gt;H54),"Complete matching attendee details",""))))))))</x:f>
      </x:c>
    </x:row>
    <x:row r="55" ht="22" customHeight="1">
      <x:c r="A55" s="9"/>
      <x:c r="B55" s="18"/>
      <x:c r="C55" s="9"/>
      <x:c r="D55" s="9"/>
      <x:c r="E55" s="19"/>
      <x:c r="F55" s="19"/>
      <x:c r="G55" s="9"/>
      <x:c r="H55" s="9"/>
      <x:c r="I55" s="13" t="str">
        <x:f>IF(A55="","",SUM(G55:H55))</x:f>
      </x:c>
      <x:c r="J55" s="20" t="n">
        <x:v>2999</x:v>
      </x:c>
      <x:c r="K55" s="20" t="n">
        <x:v>3999</x:v>
      </x:c>
      <x:c r="L55" s="14" t="str">
        <x:f>IF(A55="","",G55*J55+H55*K55)</x:f>
      </x:c>
      <x:c r="M55" s="20"/>
      <x:c r="N55" s="14" t="str">
        <x:f>IF(A55="","",IF(ISNUMBER(M55),ROUND(L55+M55,2),"Set added charges"))</x:f>
      </x:c>
      <x:c r="O55" s="9"/>
      <x:c r="P55" s="20"/>
      <x:c r="Q55" s="20"/>
      <x:c r="R55" s="19"/>
      <x:c r="S55" s="19"/>
      <x:c r="T55" s="14" t="str">
        <x:f>IF(A55="","",P55-Q55)</x:f>
      </x:c>
      <x:c r="U55" s="13" t="str">
        <x:f>IF(A55="","",COUNTIFS('Attendees'!$B$6:$B$205,A55,'Attendees'!$A$6:$A$205,"&lt;&gt;"))</x:f>
      </x:c>
      <x:c r="V55" s="13" t="str">
        <x:f>IF(A55="","",COUNTIFS('Attendees'!$B$6:$B$205,A55,'Attendees'!$F$6:$F$205,"Non-alcoholic",'Attendees'!$A$6:$A$205,"&lt;&gt;"))</x:f>
      </x:c>
      <x:c r="W55" s="13" t="str">
        <x:f>IF(A55="","",COUNTIFS('Attendees'!$B$6:$B$205,A55,'Attendees'!$F$6:$F$205,"Alcohol-inclusive",'Attendees'!$A$6:$A$205,"&lt;&gt;"))</x:f>
      </x:c>
      <x:c r="X55" s="9"/>
      <x:c r="Y55" s="13" t="str">
        <x:f>IF(A55="","",IF(COUNTIFS($A$6:$A$205,A55)&gt;1,"Duplicate booking ID",IF(OR(I55&lt;1,I55&gt;'Dashboard'!$E$10,G55&lt;0,H55&lt;0,G55&lt;&gt;INT(G55),H55&lt;&gt;INT(H55)),"Use 1–5 whole passes",IF(OR(C55="",E55="",F55=""),"Complete buyer name, phone and email",IF(NOT(ISNUMBER(M55)),"Set added charges (0 if none)",IF(AND(S55&lt;&gt;"",COUNTIFS($S$6:$S$205,S55)&gt;1),"Duplicate payment ID",IF(AND(O55="Confirmed",OR(P55&lt;&gt;N55,S55="")),"Verify full payment + payment ID",IF(OR(U55&lt;&gt;I55,V55&lt;&gt;G55,W55&lt;&gt;H55),"Complete matching attendee details",""))))))))</x:f>
      </x:c>
    </x:row>
    <x:row r="56" ht="22" customHeight="1">
      <x:c r="A56" s="9"/>
      <x:c r="B56" s="18"/>
      <x:c r="C56" s="9"/>
      <x:c r="D56" s="9"/>
      <x:c r="E56" s="19"/>
      <x:c r="F56" s="19"/>
      <x:c r="G56" s="9"/>
      <x:c r="H56" s="9"/>
      <x:c r="I56" s="13" t="str">
        <x:f>IF(A56="","",SUM(G56:H56))</x:f>
      </x:c>
      <x:c r="J56" s="20" t="n">
        <x:v>2999</x:v>
      </x:c>
      <x:c r="K56" s="20" t="n">
        <x:v>3999</x:v>
      </x:c>
      <x:c r="L56" s="14" t="str">
        <x:f>IF(A56="","",G56*J56+H56*K56)</x:f>
      </x:c>
      <x:c r="M56" s="20"/>
      <x:c r="N56" s="14" t="str">
        <x:f>IF(A56="","",IF(ISNUMBER(M56),ROUND(L56+M56,2),"Set added charges"))</x:f>
      </x:c>
      <x:c r="O56" s="9"/>
      <x:c r="P56" s="20"/>
      <x:c r="Q56" s="20"/>
      <x:c r="R56" s="19"/>
      <x:c r="S56" s="19"/>
      <x:c r="T56" s="14" t="str">
        <x:f>IF(A56="","",P56-Q56)</x:f>
      </x:c>
      <x:c r="U56" s="13" t="str">
        <x:f>IF(A56="","",COUNTIFS('Attendees'!$B$6:$B$205,A56,'Attendees'!$A$6:$A$205,"&lt;&gt;"))</x:f>
      </x:c>
      <x:c r="V56" s="13" t="str">
        <x:f>IF(A56="","",COUNTIFS('Attendees'!$B$6:$B$205,A56,'Attendees'!$F$6:$F$205,"Non-alcoholic",'Attendees'!$A$6:$A$205,"&lt;&gt;"))</x:f>
      </x:c>
      <x:c r="W56" s="13" t="str">
        <x:f>IF(A56="","",COUNTIFS('Attendees'!$B$6:$B$205,A56,'Attendees'!$F$6:$F$205,"Alcohol-inclusive",'Attendees'!$A$6:$A$205,"&lt;&gt;"))</x:f>
      </x:c>
      <x:c r="X56" s="9"/>
      <x:c r="Y56" s="13" t="str">
        <x:f>IF(A56="","",IF(COUNTIFS($A$6:$A$205,A56)&gt;1,"Duplicate booking ID",IF(OR(I56&lt;1,I56&gt;'Dashboard'!$E$10,G56&lt;0,H56&lt;0,G56&lt;&gt;INT(G56),H56&lt;&gt;INT(H56)),"Use 1–5 whole passes",IF(OR(C56="",E56="",F56=""),"Complete buyer name, phone and email",IF(NOT(ISNUMBER(M56)),"Set added charges (0 if none)",IF(AND(S56&lt;&gt;"",COUNTIFS($S$6:$S$205,S56)&gt;1),"Duplicate payment ID",IF(AND(O56="Confirmed",OR(P56&lt;&gt;N56,S56="")),"Verify full payment + payment ID",IF(OR(U56&lt;&gt;I56,V56&lt;&gt;G56,W56&lt;&gt;H56),"Complete matching attendee details",""))))))))</x:f>
      </x:c>
    </x:row>
    <x:row r="57" ht="22" customHeight="1">
      <x:c r="A57" s="9"/>
      <x:c r="B57" s="18"/>
      <x:c r="C57" s="9"/>
      <x:c r="D57" s="9"/>
      <x:c r="E57" s="19"/>
      <x:c r="F57" s="19"/>
      <x:c r="G57" s="9"/>
      <x:c r="H57" s="9"/>
      <x:c r="I57" s="13" t="str">
        <x:f>IF(A57="","",SUM(G57:H57))</x:f>
      </x:c>
      <x:c r="J57" s="20" t="n">
        <x:v>2999</x:v>
      </x:c>
      <x:c r="K57" s="20" t="n">
        <x:v>3999</x:v>
      </x:c>
      <x:c r="L57" s="14" t="str">
        <x:f>IF(A57="","",G57*J57+H57*K57)</x:f>
      </x:c>
      <x:c r="M57" s="20"/>
      <x:c r="N57" s="14" t="str">
        <x:f>IF(A57="","",IF(ISNUMBER(M57),ROUND(L57+M57,2),"Set added charges"))</x:f>
      </x:c>
      <x:c r="O57" s="9"/>
      <x:c r="P57" s="20"/>
      <x:c r="Q57" s="20"/>
      <x:c r="R57" s="19"/>
      <x:c r="S57" s="19"/>
      <x:c r="T57" s="14" t="str">
        <x:f>IF(A57="","",P57-Q57)</x:f>
      </x:c>
      <x:c r="U57" s="13" t="str">
        <x:f>IF(A57="","",COUNTIFS('Attendees'!$B$6:$B$205,A57,'Attendees'!$A$6:$A$205,"&lt;&gt;"))</x:f>
      </x:c>
      <x:c r="V57" s="13" t="str">
        <x:f>IF(A57="","",COUNTIFS('Attendees'!$B$6:$B$205,A57,'Attendees'!$F$6:$F$205,"Non-alcoholic",'Attendees'!$A$6:$A$205,"&lt;&gt;"))</x:f>
      </x:c>
      <x:c r="W57" s="13" t="str">
        <x:f>IF(A57="","",COUNTIFS('Attendees'!$B$6:$B$205,A57,'Attendees'!$F$6:$F$205,"Alcohol-inclusive",'Attendees'!$A$6:$A$205,"&lt;&gt;"))</x:f>
      </x:c>
      <x:c r="X57" s="9"/>
      <x:c r="Y57" s="13" t="str">
        <x:f>IF(A57="","",IF(COUNTIFS($A$6:$A$205,A57)&gt;1,"Duplicate booking ID",IF(OR(I57&lt;1,I57&gt;'Dashboard'!$E$10,G57&lt;0,H57&lt;0,G57&lt;&gt;INT(G57),H57&lt;&gt;INT(H57)),"Use 1–5 whole passes",IF(OR(C57="",E57="",F57=""),"Complete buyer name, phone and email",IF(NOT(ISNUMBER(M57)),"Set added charges (0 if none)",IF(AND(S57&lt;&gt;"",COUNTIFS($S$6:$S$205,S57)&gt;1),"Duplicate payment ID",IF(AND(O57="Confirmed",OR(P57&lt;&gt;N57,S57="")),"Verify full payment + payment ID",IF(OR(U57&lt;&gt;I57,V57&lt;&gt;G57,W57&lt;&gt;H57),"Complete matching attendee details",""))))))))</x:f>
      </x:c>
    </x:row>
    <x:row r="58" ht="22" customHeight="1">
      <x:c r="A58" s="9"/>
      <x:c r="B58" s="18"/>
      <x:c r="C58" s="9"/>
      <x:c r="D58" s="9"/>
      <x:c r="E58" s="19"/>
      <x:c r="F58" s="19"/>
      <x:c r="G58" s="9"/>
      <x:c r="H58" s="9"/>
      <x:c r="I58" s="13" t="str">
        <x:f>IF(A58="","",SUM(G58:H58))</x:f>
      </x:c>
      <x:c r="J58" s="20" t="n">
        <x:v>2999</x:v>
      </x:c>
      <x:c r="K58" s="20" t="n">
        <x:v>3999</x:v>
      </x:c>
      <x:c r="L58" s="14" t="str">
        <x:f>IF(A58="","",G58*J58+H58*K58)</x:f>
      </x:c>
      <x:c r="M58" s="20"/>
      <x:c r="N58" s="14" t="str">
        <x:f>IF(A58="","",IF(ISNUMBER(M58),ROUND(L58+M58,2),"Set added charges"))</x:f>
      </x:c>
      <x:c r="O58" s="9"/>
      <x:c r="P58" s="20"/>
      <x:c r="Q58" s="20"/>
      <x:c r="R58" s="19"/>
      <x:c r="S58" s="19"/>
      <x:c r="T58" s="14" t="str">
        <x:f>IF(A58="","",P58-Q58)</x:f>
      </x:c>
      <x:c r="U58" s="13" t="str">
        <x:f>IF(A58="","",COUNTIFS('Attendees'!$B$6:$B$205,A58,'Attendees'!$A$6:$A$205,"&lt;&gt;"))</x:f>
      </x:c>
      <x:c r="V58" s="13" t="str">
        <x:f>IF(A58="","",COUNTIFS('Attendees'!$B$6:$B$205,A58,'Attendees'!$F$6:$F$205,"Non-alcoholic",'Attendees'!$A$6:$A$205,"&lt;&gt;"))</x:f>
      </x:c>
      <x:c r="W58" s="13" t="str">
        <x:f>IF(A58="","",COUNTIFS('Attendees'!$B$6:$B$205,A58,'Attendees'!$F$6:$F$205,"Alcohol-inclusive",'Attendees'!$A$6:$A$205,"&lt;&gt;"))</x:f>
      </x:c>
      <x:c r="X58" s="9"/>
      <x:c r="Y58" s="13" t="str">
        <x:f>IF(A58="","",IF(COUNTIFS($A$6:$A$205,A58)&gt;1,"Duplicate booking ID",IF(OR(I58&lt;1,I58&gt;'Dashboard'!$E$10,G58&lt;0,H58&lt;0,G58&lt;&gt;INT(G58),H58&lt;&gt;INT(H58)),"Use 1–5 whole passes",IF(OR(C58="",E58="",F58=""),"Complete buyer name, phone and email",IF(NOT(ISNUMBER(M58)),"Set added charges (0 if none)",IF(AND(S58&lt;&gt;"",COUNTIFS($S$6:$S$205,S58)&gt;1),"Duplicate payment ID",IF(AND(O58="Confirmed",OR(P58&lt;&gt;N58,S58="")),"Verify full payment + payment ID",IF(OR(U58&lt;&gt;I58,V58&lt;&gt;G58,W58&lt;&gt;H58),"Complete matching attendee details",""))))))))</x:f>
      </x:c>
    </x:row>
    <x:row r="59" ht="22" customHeight="1">
      <x:c r="A59" s="9"/>
      <x:c r="B59" s="18"/>
      <x:c r="C59" s="9"/>
      <x:c r="D59" s="9"/>
      <x:c r="E59" s="19"/>
      <x:c r="F59" s="19"/>
      <x:c r="G59" s="9"/>
      <x:c r="H59" s="9"/>
      <x:c r="I59" s="13" t="str">
        <x:f>IF(A59="","",SUM(G59:H59))</x:f>
      </x:c>
      <x:c r="J59" s="20" t="n">
        <x:v>2999</x:v>
      </x:c>
      <x:c r="K59" s="20" t="n">
        <x:v>3999</x:v>
      </x:c>
      <x:c r="L59" s="14" t="str">
        <x:f>IF(A59="","",G59*J59+H59*K59)</x:f>
      </x:c>
      <x:c r="M59" s="20"/>
      <x:c r="N59" s="14" t="str">
        <x:f>IF(A59="","",IF(ISNUMBER(M59),ROUND(L59+M59,2),"Set added charges"))</x:f>
      </x:c>
      <x:c r="O59" s="9"/>
      <x:c r="P59" s="20"/>
      <x:c r="Q59" s="20"/>
      <x:c r="R59" s="19"/>
      <x:c r="S59" s="19"/>
      <x:c r="T59" s="14" t="str">
        <x:f>IF(A59="","",P59-Q59)</x:f>
      </x:c>
      <x:c r="U59" s="13" t="str">
        <x:f>IF(A59="","",COUNTIFS('Attendees'!$B$6:$B$205,A59,'Attendees'!$A$6:$A$205,"&lt;&gt;"))</x:f>
      </x:c>
      <x:c r="V59" s="13" t="str">
        <x:f>IF(A59="","",COUNTIFS('Attendees'!$B$6:$B$205,A59,'Attendees'!$F$6:$F$205,"Non-alcoholic",'Attendees'!$A$6:$A$205,"&lt;&gt;"))</x:f>
      </x:c>
      <x:c r="W59" s="13" t="str">
        <x:f>IF(A59="","",COUNTIFS('Attendees'!$B$6:$B$205,A59,'Attendees'!$F$6:$F$205,"Alcohol-inclusive",'Attendees'!$A$6:$A$205,"&lt;&gt;"))</x:f>
      </x:c>
      <x:c r="X59" s="9"/>
      <x:c r="Y59" s="13" t="str">
        <x:f>IF(A59="","",IF(COUNTIFS($A$6:$A$205,A59)&gt;1,"Duplicate booking ID",IF(OR(I59&lt;1,I59&gt;'Dashboard'!$E$10,G59&lt;0,H59&lt;0,G59&lt;&gt;INT(G59),H59&lt;&gt;INT(H59)),"Use 1–5 whole passes",IF(OR(C59="",E59="",F59=""),"Complete buyer name, phone and email",IF(NOT(ISNUMBER(M59)),"Set added charges (0 if none)",IF(AND(S59&lt;&gt;"",COUNTIFS($S$6:$S$205,S59)&gt;1),"Duplicate payment ID",IF(AND(O59="Confirmed",OR(P59&lt;&gt;N59,S59="")),"Verify full payment + payment ID",IF(OR(U59&lt;&gt;I59,V59&lt;&gt;G59,W59&lt;&gt;H59),"Complete matching attendee details",""))))))))</x:f>
      </x:c>
    </x:row>
    <x:row r="60" ht="22" customHeight="1">
      <x:c r="A60" s="9"/>
      <x:c r="B60" s="18"/>
      <x:c r="C60" s="9"/>
      <x:c r="D60" s="9"/>
      <x:c r="E60" s="19"/>
      <x:c r="F60" s="19"/>
      <x:c r="G60" s="9"/>
      <x:c r="H60" s="9"/>
      <x:c r="I60" s="13" t="str">
        <x:f>IF(A60="","",SUM(G60:H60))</x:f>
      </x:c>
      <x:c r="J60" s="20" t="n">
        <x:v>2999</x:v>
      </x:c>
      <x:c r="K60" s="20" t="n">
        <x:v>3999</x:v>
      </x:c>
      <x:c r="L60" s="14" t="str">
        <x:f>IF(A60="","",G60*J60+H60*K60)</x:f>
      </x:c>
      <x:c r="M60" s="20"/>
      <x:c r="N60" s="14" t="str">
        <x:f>IF(A60="","",IF(ISNUMBER(M60),ROUND(L60+M60,2),"Set added charges"))</x:f>
      </x:c>
      <x:c r="O60" s="9"/>
      <x:c r="P60" s="20"/>
      <x:c r="Q60" s="20"/>
      <x:c r="R60" s="19"/>
      <x:c r="S60" s="19"/>
      <x:c r="T60" s="14" t="str">
        <x:f>IF(A60="","",P60-Q60)</x:f>
      </x:c>
      <x:c r="U60" s="13" t="str">
        <x:f>IF(A60="","",COUNTIFS('Attendees'!$B$6:$B$205,A60,'Attendees'!$A$6:$A$205,"&lt;&gt;"))</x:f>
      </x:c>
      <x:c r="V60" s="13" t="str">
        <x:f>IF(A60="","",COUNTIFS('Attendees'!$B$6:$B$205,A60,'Attendees'!$F$6:$F$205,"Non-alcoholic",'Attendees'!$A$6:$A$205,"&lt;&gt;"))</x:f>
      </x:c>
      <x:c r="W60" s="13" t="str">
        <x:f>IF(A60="","",COUNTIFS('Attendees'!$B$6:$B$205,A60,'Attendees'!$F$6:$F$205,"Alcohol-inclusive",'Attendees'!$A$6:$A$205,"&lt;&gt;"))</x:f>
      </x:c>
      <x:c r="X60" s="9"/>
      <x:c r="Y60" s="13" t="str">
        <x:f>IF(A60="","",IF(COUNTIFS($A$6:$A$205,A60)&gt;1,"Duplicate booking ID",IF(OR(I60&lt;1,I60&gt;'Dashboard'!$E$10,G60&lt;0,H60&lt;0,G60&lt;&gt;INT(G60),H60&lt;&gt;INT(H60)),"Use 1–5 whole passes",IF(OR(C60="",E60="",F60=""),"Complete buyer name, phone and email",IF(NOT(ISNUMBER(M60)),"Set added charges (0 if none)",IF(AND(S60&lt;&gt;"",COUNTIFS($S$6:$S$205,S60)&gt;1),"Duplicate payment ID",IF(AND(O60="Confirmed",OR(P60&lt;&gt;N60,S60="")),"Verify full payment + payment ID",IF(OR(U60&lt;&gt;I60,V60&lt;&gt;G60,W60&lt;&gt;H60),"Complete matching attendee details",""))))))))</x:f>
      </x:c>
    </x:row>
    <x:row r="61" ht="22" customHeight="1">
      <x:c r="A61" s="9"/>
      <x:c r="B61" s="18"/>
      <x:c r="C61" s="9"/>
      <x:c r="D61" s="9"/>
      <x:c r="E61" s="19"/>
      <x:c r="F61" s="19"/>
      <x:c r="G61" s="9"/>
      <x:c r="H61" s="9"/>
      <x:c r="I61" s="13" t="str">
        <x:f>IF(A61="","",SUM(G61:H61))</x:f>
      </x:c>
      <x:c r="J61" s="20" t="n">
        <x:v>2999</x:v>
      </x:c>
      <x:c r="K61" s="20" t="n">
        <x:v>3999</x:v>
      </x:c>
      <x:c r="L61" s="14" t="str">
        <x:f>IF(A61="","",G61*J61+H61*K61)</x:f>
      </x:c>
      <x:c r="M61" s="20"/>
      <x:c r="N61" s="14" t="str">
        <x:f>IF(A61="","",IF(ISNUMBER(M61),ROUND(L61+M61,2),"Set added charges"))</x:f>
      </x:c>
      <x:c r="O61" s="9"/>
      <x:c r="P61" s="20"/>
      <x:c r="Q61" s="20"/>
      <x:c r="R61" s="19"/>
      <x:c r="S61" s="19"/>
      <x:c r="T61" s="14" t="str">
        <x:f>IF(A61="","",P61-Q61)</x:f>
      </x:c>
      <x:c r="U61" s="13" t="str">
        <x:f>IF(A61="","",COUNTIFS('Attendees'!$B$6:$B$205,A61,'Attendees'!$A$6:$A$205,"&lt;&gt;"))</x:f>
      </x:c>
      <x:c r="V61" s="13" t="str">
        <x:f>IF(A61="","",COUNTIFS('Attendees'!$B$6:$B$205,A61,'Attendees'!$F$6:$F$205,"Non-alcoholic",'Attendees'!$A$6:$A$205,"&lt;&gt;"))</x:f>
      </x:c>
      <x:c r="W61" s="13" t="str">
        <x:f>IF(A61="","",COUNTIFS('Attendees'!$B$6:$B$205,A61,'Attendees'!$F$6:$F$205,"Alcohol-inclusive",'Attendees'!$A$6:$A$205,"&lt;&gt;"))</x:f>
      </x:c>
      <x:c r="X61" s="9"/>
      <x:c r="Y61" s="13" t="str">
        <x:f>IF(A61="","",IF(COUNTIFS($A$6:$A$205,A61)&gt;1,"Duplicate booking ID",IF(OR(I61&lt;1,I61&gt;'Dashboard'!$E$10,G61&lt;0,H61&lt;0,G61&lt;&gt;INT(G61),H61&lt;&gt;INT(H61)),"Use 1–5 whole passes",IF(OR(C61="",E61="",F61=""),"Complete buyer name, phone and email",IF(NOT(ISNUMBER(M61)),"Set added charges (0 if none)",IF(AND(S61&lt;&gt;"",COUNTIFS($S$6:$S$205,S61)&gt;1),"Duplicate payment ID",IF(AND(O61="Confirmed",OR(P61&lt;&gt;N61,S61="")),"Verify full payment + payment ID",IF(OR(U61&lt;&gt;I61,V61&lt;&gt;G61,W61&lt;&gt;H61),"Complete matching attendee details",""))))))))</x:f>
      </x:c>
    </x:row>
    <x:row r="62" ht="22" customHeight="1">
      <x:c r="A62" s="9"/>
      <x:c r="B62" s="18"/>
      <x:c r="C62" s="9"/>
      <x:c r="D62" s="9"/>
      <x:c r="E62" s="19"/>
      <x:c r="F62" s="19"/>
      <x:c r="G62" s="9"/>
      <x:c r="H62" s="9"/>
      <x:c r="I62" s="13" t="str">
        <x:f>IF(A62="","",SUM(G62:H62))</x:f>
      </x:c>
      <x:c r="J62" s="20" t="n">
        <x:v>2999</x:v>
      </x:c>
      <x:c r="K62" s="20" t="n">
        <x:v>3999</x:v>
      </x:c>
      <x:c r="L62" s="14" t="str">
        <x:f>IF(A62="","",G62*J62+H62*K62)</x:f>
      </x:c>
      <x:c r="M62" s="20"/>
      <x:c r="N62" s="14" t="str">
        <x:f>IF(A62="","",IF(ISNUMBER(M62),ROUND(L62+M62,2),"Set added charges"))</x:f>
      </x:c>
      <x:c r="O62" s="9"/>
      <x:c r="P62" s="20"/>
      <x:c r="Q62" s="20"/>
      <x:c r="R62" s="19"/>
      <x:c r="S62" s="19"/>
      <x:c r="T62" s="14" t="str">
        <x:f>IF(A62="","",P62-Q62)</x:f>
      </x:c>
      <x:c r="U62" s="13" t="str">
        <x:f>IF(A62="","",COUNTIFS('Attendees'!$B$6:$B$205,A62,'Attendees'!$A$6:$A$205,"&lt;&gt;"))</x:f>
      </x:c>
      <x:c r="V62" s="13" t="str">
        <x:f>IF(A62="","",COUNTIFS('Attendees'!$B$6:$B$205,A62,'Attendees'!$F$6:$F$205,"Non-alcoholic",'Attendees'!$A$6:$A$205,"&lt;&gt;"))</x:f>
      </x:c>
      <x:c r="W62" s="13" t="str">
        <x:f>IF(A62="","",COUNTIFS('Attendees'!$B$6:$B$205,A62,'Attendees'!$F$6:$F$205,"Alcohol-inclusive",'Attendees'!$A$6:$A$205,"&lt;&gt;"))</x:f>
      </x:c>
      <x:c r="X62" s="9"/>
      <x:c r="Y62" s="13" t="str">
        <x:f>IF(A62="","",IF(COUNTIFS($A$6:$A$205,A62)&gt;1,"Duplicate booking ID",IF(OR(I62&lt;1,I62&gt;'Dashboard'!$E$10,G62&lt;0,H62&lt;0,G62&lt;&gt;INT(G62),H62&lt;&gt;INT(H62)),"Use 1–5 whole passes",IF(OR(C62="",E62="",F62=""),"Complete buyer name, phone and email",IF(NOT(ISNUMBER(M62)),"Set added charges (0 if none)",IF(AND(S62&lt;&gt;"",COUNTIFS($S$6:$S$205,S62)&gt;1),"Duplicate payment ID",IF(AND(O62="Confirmed",OR(P62&lt;&gt;N62,S62="")),"Verify full payment + payment ID",IF(OR(U62&lt;&gt;I62,V62&lt;&gt;G62,W62&lt;&gt;H62),"Complete matching attendee details",""))))))))</x:f>
      </x:c>
    </x:row>
    <x:row r="63" ht="22" customHeight="1">
      <x:c r="A63" s="9"/>
      <x:c r="B63" s="18"/>
      <x:c r="C63" s="9"/>
      <x:c r="D63" s="9"/>
      <x:c r="E63" s="19"/>
      <x:c r="F63" s="19"/>
      <x:c r="G63" s="9"/>
      <x:c r="H63" s="9"/>
      <x:c r="I63" s="13" t="str">
        <x:f>IF(A63="","",SUM(G63:H63))</x:f>
      </x:c>
      <x:c r="J63" s="20" t="n">
        <x:v>2999</x:v>
      </x:c>
      <x:c r="K63" s="20" t="n">
        <x:v>3999</x:v>
      </x:c>
      <x:c r="L63" s="14" t="str">
        <x:f>IF(A63="","",G63*J63+H63*K63)</x:f>
      </x:c>
      <x:c r="M63" s="20"/>
      <x:c r="N63" s="14" t="str">
        <x:f>IF(A63="","",IF(ISNUMBER(M63),ROUND(L63+M63,2),"Set added charges"))</x:f>
      </x:c>
      <x:c r="O63" s="9"/>
      <x:c r="P63" s="20"/>
      <x:c r="Q63" s="20"/>
      <x:c r="R63" s="19"/>
      <x:c r="S63" s="19"/>
      <x:c r="T63" s="14" t="str">
        <x:f>IF(A63="","",P63-Q63)</x:f>
      </x:c>
      <x:c r="U63" s="13" t="str">
        <x:f>IF(A63="","",COUNTIFS('Attendees'!$B$6:$B$205,A63,'Attendees'!$A$6:$A$205,"&lt;&gt;"))</x:f>
      </x:c>
      <x:c r="V63" s="13" t="str">
        <x:f>IF(A63="","",COUNTIFS('Attendees'!$B$6:$B$205,A63,'Attendees'!$F$6:$F$205,"Non-alcoholic",'Attendees'!$A$6:$A$205,"&lt;&gt;"))</x:f>
      </x:c>
      <x:c r="W63" s="13" t="str">
        <x:f>IF(A63="","",COUNTIFS('Attendees'!$B$6:$B$205,A63,'Attendees'!$F$6:$F$205,"Alcohol-inclusive",'Attendees'!$A$6:$A$205,"&lt;&gt;"))</x:f>
      </x:c>
      <x:c r="X63" s="9"/>
      <x:c r="Y63" s="13" t="str">
        <x:f>IF(A63="","",IF(COUNTIFS($A$6:$A$205,A63)&gt;1,"Duplicate booking ID",IF(OR(I63&lt;1,I63&gt;'Dashboard'!$E$10,G63&lt;0,H63&lt;0,G63&lt;&gt;INT(G63),H63&lt;&gt;INT(H63)),"Use 1–5 whole passes",IF(OR(C63="",E63="",F63=""),"Complete buyer name, phone and email",IF(NOT(ISNUMBER(M63)),"Set added charges (0 if none)",IF(AND(S63&lt;&gt;"",COUNTIFS($S$6:$S$205,S63)&gt;1),"Duplicate payment ID",IF(AND(O63="Confirmed",OR(P63&lt;&gt;N63,S63="")),"Verify full payment + payment ID",IF(OR(U63&lt;&gt;I63,V63&lt;&gt;G63,W63&lt;&gt;H63),"Complete matching attendee details",""))))))))</x:f>
      </x:c>
    </x:row>
    <x:row r="64" ht="22" customHeight="1">
      <x:c r="A64" s="9"/>
      <x:c r="B64" s="18"/>
      <x:c r="C64" s="9"/>
      <x:c r="D64" s="9"/>
      <x:c r="E64" s="19"/>
      <x:c r="F64" s="19"/>
      <x:c r="G64" s="9"/>
      <x:c r="H64" s="9"/>
      <x:c r="I64" s="13" t="str">
        <x:f>IF(A64="","",SUM(G64:H64))</x:f>
      </x:c>
      <x:c r="J64" s="20" t="n">
        <x:v>2999</x:v>
      </x:c>
      <x:c r="K64" s="20" t="n">
        <x:v>3999</x:v>
      </x:c>
      <x:c r="L64" s="14" t="str">
        <x:f>IF(A64="","",G64*J64+H64*K64)</x:f>
      </x:c>
      <x:c r="M64" s="20"/>
      <x:c r="N64" s="14" t="str">
        <x:f>IF(A64="","",IF(ISNUMBER(M64),ROUND(L64+M64,2),"Set added charges"))</x:f>
      </x:c>
      <x:c r="O64" s="9"/>
      <x:c r="P64" s="20"/>
      <x:c r="Q64" s="20"/>
      <x:c r="R64" s="19"/>
      <x:c r="S64" s="19"/>
      <x:c r="T64" s="14" t="str">
        <x:f>IF(A64="","",P64-Q64)</x:f>
      </x:c>
      <x:c r="U64" s="13" t="str">
        <x:f>IF(A64="","",COUNTIFS('Attendees'!$B$6:$B$205,A64,'Attendees'!$A$6:$A$205,"&lt;&gt;"))</x:f>
      </x:c>
      <x:c r="V64" s="13" t="str">
        <x:f>IF(A64="","",COUNTIFS('Attendees'!$B$6:$B$205,A64,'Attendees'!$F$6:$F$205,"Non-alcoholic",'Attendees'!$A$6:$A$205,"&lt;&gt;"))</x:f>
      </x:c>
      <x:c r="W64" s="13" t="str">
        <x:f>IF(A64="","",COUNTIFS('Attendees'!$B$6:$B$205,A64,'Attendees'!$F$6:$F$205,"Alcohol-inclusive",'Attendees'!$A$6:$A$205,"&lt;&gt;"))</x:f>
      </x:c>
      <x:c r="X64" s="9"/>
      <x:c r="Y64" s="13" t="str">
        <x:f>IF(A64="","",IF(COUNTIFS($A$6:$A$205,A64)&gt;1,"Duplicate booking ID",IF(OR(I64&lt;1,I64&gt;'Dashboard'!$E$10,G64&lt;0,H64&lt;0,G64&lt;&gt;INT(G64),H64&lt;&gt;INT(H64)),"Use 1–5 whole passes",IF(OR(C64="",E64="",F64=""),"Complete buyer name, phone and email",IF(NOT(ISNUMBER(M64)),"Set added charges (0 if none)",IF(AND(S64&lt;&gt;"",COUNTIFS($S$6:$S$205,S64)&gt;1),"Duplicate payment ID",IF(AND(O64="Confirmed",OR(P64&lt;&gt;N64,S64="")),"Verify full payment + payment ID",IF(OR(U64&lt;&gt;I64,V64&lt;&gt;G64,W64&lt;&gt;H64),"Complete matching attendee details",""))))))))</x:f>
      </x:c>
    </x:row>
    <x:row r="65" ht="22" customHeight="1">
      <x:c r="A65" s="9"/>
      <x:c r="B65" s="18"/>
      <x:c r="C65" s="9"/>
      <x:c r="D65" s="9"/>
      <x:c r="E65" s="19"/>
      <x:c r="F65" s="19"/>
      <x:c r="G65" s="9"/>
      <x:c r="H65" s="9"/>
      <x:c r="I65" s="13" t="str">
        <x:f>IF(A65="","",SUM(G65:H65))</x:f>
      </x:c>
      <x:c r="J65" s="20" t="n">
        <x:v>2999</x:v>
      </x:c>
      <x:c r="K65" s="20" t="n">
        <x:v>3999</x:v>
      </x:c>
      <x:c r="L65" s="14" t="str">
        <x:f>IF(A65="","",G65*J65+H65*K65)</x:f>
      </x:c>
      <x:c r="M65" s="20"/>
      <x:c r="N65" s="14" t="str">
        <x:f>IF(A65="","",IF(ISNUMBER(M65),ROUND(L65+M65,2),"Set added charges"))</x:f>
      </x:c>
      <x:c r="O65" s="9"/>
      <x:c r="P65" s="20"/>
      <x:c r="Q65" s="20"/>
      <x:c r="R65" s="19"/>
      <x:c r="S65" s="19"/>
      <x:c r="T65" s="14" t="str">
        <x:f>IF(A65="","",P65-Q65)</x:f>
      </x:c>
      <x:c r="U65" s="13" t="str">
        <x:f>IF(A65="","",COUNTIFS('Attendees'!$B$6:$B$205,A65,'Attendees'!$A$6:$A$205,"&lt;&gt;"))</x:f>
      </x:c>
      <x:c r="V65" s="13" t="str">
        <x:f>IF(A65="","",COUNTIFS('Attendees'!$B$6:$B$205,A65,'Attendees'!$F$6:$F$205,"Non-alcoholic",'Attendees'!$A$6:$A$205,"&lt;&gt;"))</x:f>
      </x:c>
      <x:c r="W65" s="13" t="str">
        <x:f>IF(A65="","",COUNTIFS('Attendees'!$B$6:$B$205,A65,'Attendees'!$F$6:$F$205,"Alcohol-inclusive",'Attendees'!$A$6:$A$205,"&lt;&gt;"))</x:f>
      </x:c>
      <x:c r="X65" s="9"/>
      <x:c r="Y65" s="13" t="str">
        <x:f>IF(A65="","",IF(COUNTIFS($A$6:$A$205,A65)&gt;1,"Duplicate booking ID",IF(OR(I65&lt;1,I65&gt;'Dashboard'!$E$10,G65&lt;0,H65&lt;0,G65&lt;&gt;INT(G65),H65&lt;&gt;INT(H65)),"Use 1–5 whole passes",IF(OR(C65="",E65="",F65=""),"Complete buyer name, phone and email",IF(NOT(ISNUMBER(M65)),"Set added charges (0 if none)",IF(AND(S65&lt;&gt;"",COUNTIFS($S$6:$S$205,S65)&gt;1),"Duplicate payment ID",IF(AND(O65="Confirmed",OR(P65&lt;&gt;N65,S65="")),"Verify full payment + payment ID",IF(OR(U65&lt;&gt;I65,V65&lt;&gt;G65,W65&lt;&gt;H65),"Complete matching attendee details",""))))))))</x:f>
      </x:c>
    </x:row>
    <x:row r="66" ht="22" customHeight="1">
      <x:c r="A66" s="9"/>
      <x:c r="B66" s="18"/>
      <x:c r="C66" s="9"/>
      <x:c r="D66" s="9"/>
      <x:c r="E66" s="19"/>
      <x:c r="F66" s="19"/>
      <x:c r="G66" s="9"/>
      <x:c r="H66" s="9"/>
      <x:c r="I66" s="13" t="str">
        <x:f>IF(A66="","",SUM(G66:H66))</x:f>
      </x:c>
      <x:c r="J66" s="20" t="n">
        <x:v>2999</x:v>
      </x:c>
      <x:c r="K66" s="20" t="n">
        <x:v>3999</x:v>
      </x:c>
      <x:c r="L66" s="14" t="str">
        <x:f>IF(A66="","",G66*J66+H66*K66)</x:f>
      </x:c>
      <x:c r="M66" s="20"/>
      <x:c r="N66" s="14" t="str">
        <x:f>IF(A66="","",IF(ISNUMBER(M66),ROUND(L66+M66,2),"Set added charges"))</x:f>
      </x:c>
      <x:c r="O66" s="9"/>
      <x:c r="P66" s="20"/>
      <x:c r="Q66" s="20"/>
      <x:c r="R66" s="19"/>
      <x:c r="S66" s="19"/>
      <x:c r="T66" s="14" t="str">
        <x:f>IF(A66="","",P66-Q66)</x:f>
      </x:c>
      <x:c r="U66" s="13" t="str">
        <x:f>IF(A66="","",COUNTIFS('Attendees'!$B$6:$B$205,A66,'Attendees'!$A$6:$A$205,"&lt;&gt;"))</x:f>
      </x:c>
      <x:c r="V66" s="13" t="str">
        <x:f>IF(A66="","",COUNTIFS('Attendees'!$B$6:$B$205,A66,'Attendees'!$F$6:$F$205,"Non-alcoholic",'Attendees'!$A$6:$A$205,"&lt;&gt;"))</x:f>
      </x:c>
      <x:c r="W66" s="13" t="str">
        <x:f>IF(A66="","",COUNTIFS('Attendees'!$B$6:$B$205,A66,'Attendees'!$F$6:$F$205,"Alcohol-inclusive",'Attendees'!$A$6:$A$205,"&lt;&gt;"))</x:f>
      </x:c>
      <x:c r="X66" s="9"/>
      <x:c r="Y66" s="13" t="str">
        <x:f>IF(A66="","",IF(COUNTIFS($A$6:$A$205,A66)&gt;1,"Duplicate booking ID",IF(OR(I66&lt;1,I66&gt;'Dashboard'!$E$10,G66&lt;0,H66&lt;0,G66&lt;&gt;INT(G66),H66&lt;&gt;INT(H66)),"Use 1–5 whole passes",IF(OR(C66="",E66="",F66=""),"Complete buyer name, phone and email",IF(NOT(ISNUMBER(M66)),"Set added charges (0 if none)",IF(AND(S66&lt;&gt;"",COUNTIFS($S$6:$S$205,S66)&gt;1),"Duplicate payment ID",IF(AND(O66="Confirmed",OR(P66&lt;&gt;N66,S66="")),"Verify full payment + payment ID",IF(OR(U66&lt;&gt;I66,V66&lt;&gt;G66,W66&lt;&gt;H66),"Complete matching attendee details",""))))))))</x:f>
      </x:c>
    </x:row>
    <x:row r="67" ht="22" customHeight="1">
      <x:c r="A67" s="9"/>
      <x:c r="B67" s="18"/>
      <x:c r="C67" s="9"/>
      <x:c r="D67" s="9"/>
      <x:c r="E67" s="19"/>
      <x:c r="F67" s="19"/>
      <x:c r="G67" s="9"/>
      <x:c r="H67" s="9"/>
      <x:c r="I67" s="13" t="str">
        <x:f>IF(A67="","",SUM(G67:H67))</x:f>
      </x:c>
      <x:c r="J67" s="20" t="n">
        <x:v>2999</x:v>
      </x:c>
      <x:c r="K67" s="20" t="n">
        <x:v>3999</x:v>
      </x:c>
      <x:c r="L67" s="14" t="str">
        <x:f>IF(A67="","",G67*J67+H67*K67)</x:f>
      </x:c>
      <x:c r="M67" s="20"/>
      <x:c r="N67" s="14" t="str">
        <x:f>IF(A67="","",IF(ISNUMBER(M67),ROUND(L67+M67,2),"Set added charges"))</x:f>
      </x:c>
      <x:c r="O67" s="9"/>
      <x:c r="P67" s="20"/>
      <x:c r="Q67" s="20"/>
      <x:c r="R67" s="19"/>
      <x:c r="S67" s="19"/>
      <x:c r="T67" s="14" t="str">
        <x:f>IF(A67="","",P67-Q67)</x:f>
      </x:c>
      <x:c r="U67" s="13" t="str">
        <x:f>IF(A67="","",COUNTIFS('Attendees'!$B$6:$B$205,A67,'Attendees'!$A$6:$A$205,"&lt;&gt;"))</x:f>
      </x:c>
      <x:c r="V67" s="13" t="str">
        <x:f>IF(A67="","",COUNTIFS('Attendees'!$B$6:$B$205,A67,'Attendees'!$F$6:$F$205,"Non-alcoholic",'Attendees'!$A$6:$A$205,"&lt;&gt;"))</x:f>
      </x:c>
      <x:c r="W67" s="13" t="str">
        <x:f>IF(A67="","",COUNTIFS('Attendees'!$B$6:$B$205,A67,'Attendees'!$F$6:$F$205,"Alcohol-inclusive",'Attendees'!$A$6:$A$205,"&lt;&gt;"))</x:f>
      </x:c>
      <x:c r="X67" s="9"/>
      <x:c r="Y67" s="13" t="str">
        <x:f>IF(A67="","",IF(COUNTIFS($A$6:$A$205,A67)&gt;1,"Duplicate booking ID",IF(OR(I67&lt;1,I67&gt;'Dashboard'!$E$10,G67&lt;0,H67&lt;0,G67&lt;&gt;INT(G67),H67&lt;&gt;INT(H67)),"Use 1–5 whole passes",IF(OR(C67="",E67="",F67=""),"Complete buyer name, phone and email",IF(NOT(ISNUMBER(M67)),"Set added charges (0 if none)",IF(AND(S67&lt;&gt;"",COUNTIFS($S$6:$S$205,S67)&gt;1),"Duplicate payment ID",IF(AND(O67="Confirmed",OR(P67&lt;&gt;N67,S67="")),"Verify full payment + payment ID",IF(OR(U67&lt;&gt;I67,V67&lt;&gt;G67,W67&lt;&gt;H67),"Complete matching attendee details",""))))))))</x:f>
      </x:c>
    </x:row>
    <x:row r="68" ht="22" customHeight="1">
      <x:c r="A68" s="9"/>
      <x:c r="B68" s="18"/>
      <x:c r="C68" s="9"/>
      <x:c r="D68" s="9"/>
      <x:c r="E68" s="19"/>
      <x:c r="F68" s="19"/>
      <x:c r="G68" s="9"/>
      <x:c r="H68" s="9"/>
      <x:c r="I68" s="13" t="str">
        <x:f>IF(A68="","",SUM(G68:H68))</x:f>
      </x:c>
      <x:c r="J68" s="20" t="n">
        <x:v>2999</x:v>
      </x:c>
      <x:c r="K68" s="20" t="n">
        <x:v>3999</x:v>
      </x:c>
      <x:c r="L68" s="14" t="str">
        <x:f>IF(A68="","",G68*J68+H68*K68)</x:f>
      </x:c>
      <x:c r="M68" s="20"/>
      <x:c r="N68" s="14" t="str">
        <x:f>IF(A68="","",IF(ISNUMBER(M68),ROUND(L68+M68,2),"Set added charges"))</x:f>
      </x:c>
      <x:c r="O68" s="9"/>
      <x:c r="P68" s="20"/>
      <x:c r="Q68" s="20"/>
      <x:c r="R68" s="19"/>
      <x:c r="S68" s="19"/>
      <x:c r="T68" s="14" t="str">
        <x:f>IF(A68="","",P68-Q68)</x:f>
      </x:c>
      <x:c r="U68" s="13" t="str">
        <x:f>IF(A68="","",COUNTIFS('Attendees'!$B$6:$B$205,A68,'Attendees'!$A$6:$A$205,"&lt;&gt;"))</x:f>
      </x:c>
      <x:c r="V68" s="13" t="str">
        <x:f>IF(A68="","",COUNTIFS('Attendees'!$B$6:$B$205,A68,'Attendees'!$F$6:$F$205,"Non-alcoholic",'Attendees'!$A$6:$A$205,"&lt;&gt;"))</x:f>
      </x:c>
      <x:c r="W68" s="13" t="str">
        <x:f>IF(A68="","",COUNTIFS('Attendees'!$B$6:$B$205,A68,'Attendees'!$F$6:$F$205,"Alcohol-inclusive",'Attendees'!$A$6:$A$205,"&lt;&gt;"))</x:f>
      </x:c>
      <x:c r="X68" s="9"/>
      <x:c r="Y68" s="13" t="str">
        <x:f>IF(A68="","",IF(COUNTIFS($A$6:$A$205,A68)&gt;1,"Duplicate booking ID",IF(OR(I68&lt;1,I68&gt;'Dashboard'!$E$10,G68&lt;0,H68&lt;0,G68&lt;&gt;INT(G68),H68&lt;&gt;INT(H68)),"Use 1–5 whole passes",IF(OR(C68="",E68="",F68=""),"Complete buyer name, phone and email",IF(NOT(ISNUMBER(M68)),"Set added charges (0 if none)",IF(AND(S68&lt;&gt;"",COUNTIFS($S$6:$S$205,S68)&gt;1),"Duplicate payment ID",IF(AND(O68="Confirmed",OR(P68&lt;&gt;N68,S68="")),"Verify full payment + payment ID",IF(OR(U68&lt;&gt;I68,V68&lt;&gt;G68,W68&lt;&gt;H68),"Complete matching attendee details",""))))))))</x:f>
      </x:c>
    </x:row>
    <x:row r="69" ht="22" customHeight="1">
      <x:c r="A69" s="9"/>
      <x:c r="B69" s="18"/>
      <x:c r="C69" s="9"/>
      <x:c r="D69" s="9"/>
      <x:c r="E69" s="19"/>
      <x:c r="F69" s="19"/>
      <x:c r="G69" s="9"/>
      <x:c r="H69" s="9"/>
      <x:c r="I69" s="13" t="str">
        <x:f>IF(A69="","",SUM(G69:H69))</x:f>
      </x:c>
      <x:c r="J69" s="20" t="n">
        <x:v>2999</x:v>
      </x:c>
      <x:c r="K69" s="20" t="n">
        <x:v>3999</x:v>
      </x:c>
      <x:c r="L69" s="14" t="str">
        <x:f>IF(A69="","",G69*J69+H69*K69)</x:f>
      </x:c>
      <x:c r="M69" s="20"/>
      <x:c r="N69" s="14" t="str">
        <x:f>IF(A69="","",IF(ISNUMBER(M69),ROUND(L69+M69,2),"Set added charges"))</x:f>
      </x:c>
      <x:c r="O69" s="9"/>
      <x:c r="P69" s="20"/>
      <x:c r="Q69" s="20"/>
      <x:c r="R69" s="19"/>
      <x:c r="S69" s="19"/>
      <x:c r="T69" s="14" t="str">
        <x:f>IF(A69="","",P69-Q69)</x:f>
      </x:c>
      <x:c r="U69" s="13" t="str">
        <x:f>IF(A69="","",COUNTIFS('Attendees'!$B$6:$B$205,A69,'Attendees'!$A$6:$A$205,"&lt;&gt;"))</x:f>
      </x:c>
      <x:c r="V69" s="13" t="str">
        <x:f>IF(A69="","",COUNTIFS('Attendees'!$B$6:$B$205,A69,'Attendees'!$F$6:$F$205,"Non-alcoholic",'Attendees'!$A$6:$A$205,"&lt;&gt;"))</x:f>
      </x:c>
      <x:c r="W69" s="13" t="str">
        <x:f>IF(A69="","",COUNTIFS('Attendees'!$B$6:$B$205,A69,'Attendees'!$F$6:$F$205,"Alcohol-inclusive",'Attendees'!$A$6:$A$205,"&lt;&gt;"))</x:f>
      </x:c>
      <x:c r="X69" s="9"/>
      <x:c r="Y69" s="13" t="str">
        <x:f>IF(A69="","",IF(COUNTIFS($A$6:$A$205,A69)&gt;1,"Duplicate booking ID",IF(OR(I69&lt;1,I69&gt;'Dashboard'!$E$10,G69&lt;0,H69&lt;0,G69&lt;&gt;INT(G69),H69&lt;&gt;INT(H69)),"Use 1–5 whole passes",IF(OR(C69="",E69="",F69=""),"Complete buyer name, phone and email",IF(NOT(ISNUMBER(M69)),"Set added charges (0 if none)",IF(AND(S69&lt;&gt;"",COUNTIFS($S$6:$S$205,S69)&gt;1),"Duplicate payment ID",IF(AND(O69="Confirmed",OR(P69&lt;&gt;N69,S69="")),"Verify full payment + payment ID",IF(OR(U69&lt;&gt;I69,V69&lt;&gt;G69,W69&lt;&gt;H69),"Complete matching attendee details",""))))))))</x:f>
      </x:c>
    </x:row>
    <x:row r="70" ht="22" customHeight="1">
      <x:c r="A70" s="9"/>
      <x:c r="B70" s="18"/>
      <x:c r="C70" s="9"/>
      <x:c r="D70" s="9"/>
      <x:c r="E70" s="19"/>
      <x:c r="F70" s="19"/>
      <x:c r="G70" s="9"/>
      <x:c r="H70" s="9"/>
      <x:c r="I70" s="13" t="str">
        <x:f>IF(A70="","",SUM(G70:H70))</x:f>
      </x:c>
      <x:c r="J70" s="20" t="n">
        <x:v>2999</x:v>
      </x:c>
      <x:c r="K70" s="20" t="n">
        <x:v>3999</x:v>
      </x:c>
      <x:c r="L70" s="14" t="str">
        <x:f>IF(A70="","",G70*J70+H70*K70)</x:f>
      </x:c>
      <x:c r="M70" s="20"/>
      <x:c r="N70" s="14" t="str">
        <x:f>IF(A70="","",IF(ISNUMBER(M70),ROUND(L70+M70,2),"Set added charges"))</x:f>
      </x:c>
      <x:c r="O70" s="9"/>
      <x:c r="P70" s="20"/>
      <x:c r="Q70" s="20"/>
      <x:c r="R70" s="19"/>
      <x:c r="S70" s="19"/>
      <x:c r="T70" s="14" t="str">
        <x:f>IF(A70="","",P70-Q70)</x:f>
      </x:c>
      <x:c r="U70" s="13" t="str">
        <x:f>IF(A70="","",COUNTIFS('Attendees'!$B$6:$B$205,A70,'Attendees'!$A$6:$A$205,"&lt;&gt;"))</x:f>
      </x:c>
      <x:c r="V70" s="13" t="str">
        <x:f>IF(A70="","",COUNTIFS('Attendees'!$B$6:$B$205,A70,'Attendees'!$F$6:$F$205,"Non-alcoholic",'Attendees'!$A$6:$A$205,"&lt;&gt;"))</x:f>
      </x:c>
      <x:c r="W70" s="13" t="str">
        <x:f>IF(A70="","",COUNTIFS('Attendees'!$B$6:$B$205,A70,'Attendees'!$F$6:$F$205,"Alcohol-inclusive",'Attendees'!$A$6:$A$205,"&lt;&gt;"))</x:f>
      </x:c>
      <x:c r="X70" s="9"/>
      <x:c r="Y70" s="13" t="str">
        <x:f>IF(A70="","",IF(COUNTIFS($A$6:$A$205,A70)&gt;1,"Duplicate booking ID",IF(OR(I70&lt;1,I70&gt;'Dashboard'!$E$10,G70&lt;0,H70&lt;0,G70&lt;&gt;INT(G70),H70&lt;&gt;INT(H70)),"Use 1–5 whole passes",IF(OR(C70="",E70="",F70=""),"Complete buyer name, phone and email",IF(NOT(ISNUMBER(M70)),"Set added charges (0 if none)",IF(AND(S70&lt;&gt;"",COUNTIFS($S$6:$S$205,S70)&gt;1),"Duplicate payment ID",IF(AND(O70="Confirmed",OR(P70&lt;&gt;N70,S70="")),"Verify full payment + payment ID",IF(OR(U70&lt;&gt;I70,V70&lt;&gt;G70,W70&lt;&gt;H70),"Complete matching attendee details",""))))))))</x:f>
      </x:c>
    </x:row>
    <x:row r="71" ht="22" customHeight="1">
      <x:c r="A71" s="9"/>
      <x:c r="B71" s="18"/>
      <x:c r="C71" s="9"/>
      <x:c r="D71" s="9"/>
      <x:c r="E71" s="19"/>
      <x:c r="F71" s="19"/>
      <x:c r="G71" s="9"/>
      <x:c r="H71" s="9"/>
      <x:c r="I71" s="13" t="str">
        <x:f>IF(A71="","",SUM(G71:H71))</x:f>
      </x:c>
      <x:c r="J71" s="20" t="n">
        <x:v>2999</x:v>
      </x:c>
      <x:c r="K71" s="20" t="n">
        <x:v>3999</x:v>
      </x:c>
      <x:c r="L71" s="14" t="str">
        <x:f>IF(A71="","",G71*J71+H71*K71)</x:f>
      </x:c>
      <x:c r="M71" s="20"/>
      <x:c r="N71" s="14" t="str">
        <x:f>IF(A71="","",IF(ISNUMBER(M71),ROUND(L71+M71,2),"Set added charges"))</x:f>
      </x:c>
      <x:c r="O71" s="9"/>
      <x:c r="P71" s="20"/>
      <x:c r="Q71" s="20"/>
      <x:c r="R71" s="19"/>
      <x:c r="S71" s="19"/>
      <x:c r="T71" s="14" t="str">
        <x:f>IF(A71="","",P71-Q71)</x:f>
      </x:c>
      <x:c r="U71" s="13" t="str">
        <x:f>IF(A71="","",COUNTIFS('Attendees'!$B$6:$B$205,A71,'Attendees'!$A$6:$A$205,"&lt;&gt;"))</x:f>
      </x:c>
      <x:c r="V71" s="13" t="str">
        <x:f>IF(A71="","",COUNTIFS('Attendees'!$B$6:$B$205,A71,'Attendees'!$F$6:$F$205,"Non-alcoholic",'Attendees'!$A$6:$A$205,"&lt;&gt;"))</x:f>
      </x:c>
      <x:c r="W71" s="13" t="str">
        <x:f>IF(A71="","",COUNTIFS('Attendees'!$B$6:$B$205,A71,'Attendees'!$F$6:$F$205,"Alcohol-inclusive",'Attendees'!$A$6:$A$205,"&lt;&gt;"))</x:f>
      </x:c>
      <x:c r="X71" s="9"/>
      <x:c r="Y71" s="13" t="str">
        <x:f>IF(A71="","",IF(COUNTIFS($A$6:$A$205,A71)&gt;1,"Duplicate booking ID",IF(OR(I71&lt;1,I71&gt;'Dashboard'!$E$10,G71&lt;0,H71&lt;0,G71&lt;&gt;INT(G71),H71&lt;&gt;INT(H71)),"Use 1–5 whole passes",IF(OR(C71="",E71="",F71=""),"Complete buyer name, phone and email",IF(NOT(ISNUMBER(M71)),"Set added charges (0 if none)",IF(AND(S71&lt;&gt;"",COUNTIFS($S$6:$S$205,S71)&gt;1),"Duplicate payment ID",IF(AND(O71="Confirmed",OR(P71&lt;&gt;N71,S71="")),"Verify full payment + payment ID",IF(OR(U71&lt;&gt;I71,V71&lt;&gt;G71,W71&lt;&gt;H71),"Complete matching attendee details",""))))))))</x:f>
      </x:c>
    </x:row>
    <x:row r="72" ht="22" customHeight="1">
      <x:c r="A72" s="9"/>
      <x:c r="B72" s="18"/>
      <x:c r="C72" s="9"/>
      <x:c r="D72" s="9"/>
      <x:c r="E72" s="19"/>
      <x:c r="F72" s="19"/>
      <x:c r="G72" s="9"/>
      <x:c r="H72" s="9"/>
      <x:c r="I72" s="13" t="str">
        <x:f>IF(A72="","",SUM(G72:H72))</x:f>
      </x:c>
      <x:c r="J72" s="20" t="n">
        <x:v>2999</x:v>
      </x:c>
      <x:c r="K72" s="20" t="n">
        <x:v>3999</x:v>
      </x:c>
      <x:c r="L72" s="14" t="str">
        <x:f>IF(A72="","",G72*J72+H72*K72)</x:f>
      </x:c>
      <x:c r="M72" s="20"/>
      <x:c r="N72" s="14" t="str">
        <x:f>IF(A72="","",IF(ISNUMBER(M72),ROUND(L72+M72,2),"Set added charges"))</x:f>
      </x:c>
      <x:c r="O72" s="9"/>
      <x:c r="P72" s="20"/>
      <x:c r="Q72" s="20"/>
      <x:c r="R72" s="19"/>
      <x:c r="S72" s="19"/>
      <x:c r="T72" s="14" t="str">
        <x:f>IF(A72="","",P72-Q72)</x:f>
      </x:c>
      <x:c r="U72" s="13" t="str">
        <x:f>IF(A72="","",COUNTIFS('Attendees'!$B$6:$B$205,A72,'Attendees'!$A$6:$A$205,"&lt;&gt;"))</x:f>
      </x:c>
      <x:c r="V72" s="13" t="str">
        <x:f>IF(A72="","",COUNTIFS('Attendees'!$B$6:$B$205,A72,'Attendees'!$F$6:$F$205,"Non-alcoholic",'Attendees'!$A$6:$A$205,"&lt;&gt;"))</x:f>
      </x:c>
      <x:c r="W72" s="13" t="str">
        <x:f>IF(A72="","",COUNTIFS('Attendees'!$B$6:$B$205,A72,'Attendees'!$F$6:$F$205,"Alcohol-inclusive",'Attendees'!$A$6:$A$205,"&lt;&gt;"))</x:f>
      </x:c>
      <x:c r="X72" s="9"/>
      <x:c r="Y72" s="13" t="str">
        <x:f>IF(A72="","",IF(COUNTIFS($A$6:$A$205,A72)&gt;1,"Duplicate booking ID",IF(OR(I72&lt;1,I72&gt;'Dashboard'!$E$10,G72&lt;0,H72&lt;0,G72&lt;&gt;INT(G72),H72&lt;&gt;INT(H72)),"Use 1–5 whole passes",IF(OR(C72="",E72="",F72=""),"Complete buyer name, phone and email",IF(NOT(ISNUMBER(M72)),"Set added charges (0 if none)",IF(AND(S72&lt;&gt;"",COUNTIFS($S$6:$S$205,S72)&gt;1),"Duplicate payment ID",IF(AND(O72="Confirmed",OR(P72&lt;&gt;N72,S72="")),"Verify full payment + payment ID",IF(OR(U72&lt;&gt;I72,V72&lt;&gt;G72,W72&lt;&gt;H72),"Complete matching attendee details",""))))))))</x:f>
      </x:c>
    </x:row>
    <x:row r="73" ht="22" customHeight="1">
      <x:c r="A73" s="9"/>
      <x:c r="B73" s="18"/>
      <x:c r="C73" s="9"/>
      <x:c r="D73" s="9"/>
      <x:c r="E73" s="19"/>
      <x:c r="F73" s="19"/>
      <x:c r="G73" s="9"/>
      <x:c r="H73" s="9"/>
      <x:c r="I73" s="13" t="str">
        <x:f>IF(A73="","",SUM(G73:H73))</x:f>
      </x:c>
      <x:c r="J73" s="20" t="n">
        <x:v>2999</x:v>
      </x:c>
      <x:c r="K73" s="20" t="n">
        <x:v>3999</x:v>
      </x:c>
      <x:c r="L73" s="14" t="str">
        <x:f>IF(A73="","",G73*J73+H73*K73)</x:f>
      </x:c>
      <x:c r="M73" s="20"/>
      <x:c r="N73" s="14" t="str">
        <x:f>IF(A73="","",IF(ISNUMBER(M73),ROUND(L73+M73,2),"Set added charges"))</x:f>
      </x:c>
      <x:c r="O73" s="9"/>
      <x:c r="P73" s="20"/>
      <x:c r="Q73" s="20"/>
      <x:c r="R73" s="19"/>
      <x:c r="S73" s="19"/>
      <x:c r="T73" s="14" t="str">
        <x:f>IF(A73="","",P73-Q73)</x:f>
      </x:c>
      <x:c r="U73" s="13" t="str">
        <x:f>IF(A73="","",COUNTIFS('Attendees'!$B$6:$B$205,A73,'Attendees'!$A$6:$A$205,"&lt;&gt;"))</x:f>
      </x:c>
      <x:c r="V73" s="13" t="str">
        <x:f>IF(A73="","",COUNTIFS('Attendees'!$B$6:$B$205,A73,'Attendees'!$F$6:$F$205,"Non-alcoholic",'Attendees'!$A$6:$A$205,"&lt;&gt;"))</x:f>
      </x:c>
      <x:c r="W73" s="13" t="str">
        <x:f>IF(A73="","",COUNTIFS('Attendees'!$B$6:$B$205,A73,'Attendees'!$F$6:$F$205,"Alcohol-inclusive",'Attendees'!$A$6:$A$205,"&lt;&gt;"))</x:f>
      </x:c>
      <x:c r="X73" s="9"/>
      <x:c r="Y73" s="13" t="str">
        <x:f>IF(A73="","",IF(COUNTIFS($A$6:$A$205,A73)&gt;1,"Duplicate booking ID",IF(OR(I73&lt;1,I73&gt;'Dashboard'!$E$10,G73&lt;0,H73&lt;0,G73&lt;&gt;INT(G73),H73&lt;&gt;INT(H73)),"Use 1–5 whole passes",IF(OR(C73="",E73="",F73=""),"Complete buyer name, phone and email",IF(NOT(ISNUMBER(M73)),"Set added charges (0 if none)",IF(AND(S73&lt;&gt;"",COUNTIFS($S$6:$S$205,S73)&gt;1),"Duplicate payment ID",IF(AND(O73="Confirmed",OR(P73&lt;&gt;N73,S73="")),"Verify full payment + payment ID",IF(OR(U73&lt;&gt;I73,V73&lt;&gt;G73,W73&lt;&gt;H73),"Complete matching attendee details",""))))))))</x:f>
      </x:c>
    </x:row>
    <x:row r="74" ht="22" customHeight="1">
      <x:c r="A74" s="9"/>
      <x:c r="B74" s="18"/>
      <x:c r="C74" s="9"/>
      <x:c r="D74" s="9"/>
      <x:c r="E74" s="19"/>
      <x:c r="F74" s="19"/>
      <x:c r="G74" s="9"/>
      <x:c r="H74" s="9"/>
      <x:c r="I74" s="13" t="str">
        <x:f>IF(A74="","",SUM(G74:H74))</x:f>
      </x:c>
      <x:c r="J74" s="20" t="n">
        <x:v>2999</x:v>
      </x:c>
      <x:c r="K74" s="20" t="n">
        <x:v>3999</x:v>
      </x:c>
      <x:c r="L74" s="14" t="str">
        <x:f>IF(A74="","",G74*J74+H74*K74)</x:f>
      </x:c>
      <x:c r="M74" s="20"/>
      <x:c r="N74" s="14" t="str">
        <x:f>IF(A74="","",IF(ISNUMBER(M74),ROUND(L74+M74,2),"Set added charges"))</x:f>
      </x:c>
      <x:c r="O74" s="9"/>
      <x:c r="P74" s="20"/>
      <x:c r="Q74" s="20"/>
      <x:c r="R74" s="19"/>
      <x:c r="S74" s="19"/>
      <x:c r="T74" s="14" t="str">
        <x:f>IF(A74="","",P74-Q74)</x:f>
      </x:c>
      <x:c r="U74" s="13" t="str">
        <x:f>IF(A74="","",COUNTIFS('Attendees'!$B$6:$B$205,A74,'Attendees'!$A$6:$A$205,"&lt;&gt;"))</x:f>
      </x:c>
      <x:c r="V74" s="13" t="str">
        <x:f>IF(A74="","",COUNTIFS('Attendees'!$B$6:$B$205,A74,'Attendees'!$F$6:$F$205,"Non-alcoholic",'Attendees'!$A$6:$A$205,"&lt;&gt;"))</x:f>
      </x:c>
      <x:c r="W74" s="13" t="str">
        <x:f>IF(A74="","",COUNTIFS('Attendees'!$B$6:$B$205,A74,'Attendees'!$F$6:$F$205,"Alcohol-inclusive",'Attendees'!$A$6:$A$205,"&lt;&gt;"))</x:f>
      </x:c>
      <x:c r="X74" s="9"/>
      <x:c r="Y74" s="13" t="str">
        <x:f>IF(A74="","",IF(COUNTIFS($A$6:$A$205,A74)&gt;1,"Duplicate booking ID",IF(OR(I74&lt;1,I74&gt;'Dashboard'!$E$10,G74&lt;0,H74&lt;0,G74&lt;&gt;INT(G74),H74&lt;&gt;INT(H74)),"Use 1–5 whole passes",IF(OR(C74="",E74="",F74=""),"Complete buyer name, phone and email",IF(NOT(ISNUMBER(M74)),"Set added charges (0 if none)",IF(AND(S74&lt;&gt;"",COUNTIFS($S$6:$S$205,S74)&gt;1),"Duplicate payment ID",IF(AND(O74="Confirmed",OR(P74&lt;&gt;N74,S74="")),"Verify full payment + payment ID",IF(OR(U74&lt;&gt;I74,V74&lt;&gt;G74,W74&lt;&gt;H74),"Complete matching attendee details",""))))))))</x:f>
      </x:c>
    </x:row>
    <x:row r="75" ht="22" customHeight="1">
      <x:c r="A75" s="9"/>
      <x:c r="B75" s="18"/>
      <x:c r="C75" s="9"/>
      <x:c r="D75" s="9"/>
      <x:c r="E75" s="19"/>
      <x:c r="F75" s="19"/>
      <x:c r="G75" s="9"/>
      <x:c r="H75" s="9"/>
      <x:c r="I75" s="13" t="str">
        <x:f>IF(A75="","",SUM(G75:H75))</x:f>
      </x:c>
      <x:c r="J75" s="20" t="n">
        <x:v>2999</x:v>
      </x:c>
      <x:c r="K75" s="20" t="n">
        <x:v>3999</x:v>
      </x:c>
      <x:c r="L75" s="14" t="str">
        <x:f>IF(A75="","",G75*J75+H75*K75)</x:f>
      </x:c>
      <x:c r="M75" s="20"/>
      <x:c r="N75" s="14" t="str">
        <x:f>IF(A75="","",IF(ISNUMBER(M75),ROUND(L75+M75,2),"Set added charges"))</x:f>
      </x:c>
      <x:c r="O75" s="9"/>
      <x:c r="P75" s="20"/>
      <x:c r="Q75" s="20"/>
      <x:c r="R75" s="19"/>
      <x:c r="S75" s="19"/>
      <x:c r="T75" s="14" t="str">
        <x:f>IF(A75="","",P75-Q75)</x:f>
      </x:c>
      <x:c r="U75" s="13" t="str">
        <x:f>IF(A75="","",COUNTIFS('Attendees'!$B$6:$B$205,A75,'Attendees'!$A$6:$A$205,"&lt;&gt;"))</x:f>
      </x:c>
      <x:c r="V75" s="13" t="str">
        <x:f>IF(A75="","",COUNTIFS('Attendees'!$B$6:$B$205,A75,'Attendees'!$F$6:$F$205,"Non-alcoholic",'Attendees'!$A$6:$A$205,"&lt;&gt;"))</x:f>
      </x:c>
      <x:c r="W75" s="13" t="str">
        <x:f>IF(A75="","",COUNTIFS('Attendees'!$B$6:$B$205,A75,'Attendees'!$F$6:$F$205,"Alcohol-inclusive",'Attendees'!$A$6:$A$205,"&lt;&gt;"))</x:f>
      </x:c>
      <x:c r="X75" s="9"/>
      <x:c r="Y75" s="13" t="str">
        <x:f>IF(A75="","",IF(COUNTIFS($A$6:$A$205,A75)&gt;1,"Duplicate booking ID",IF(OR(I75&lt;1,I75&gt;'Dashboard'!$E$10,G75&lt;0,H75&lt;0,G75&lt;&gt;INT(G75),H75&lt;&gt;INT(H75)),"Use 1–5 whole passes",IF(OR(C75="",E75="",F75=""),"Complete buyer name, phone and email",IF(NOT(ISNUMBER(M75)),"Set added charges (0 if none)",IF(AND(S75&lt;&gt;"",COUNTIFS($S$6:$S$205,S75)&gt;1),"Duplicate payment ID",IF(AND(O75="Confirmed",OR(P75&lt;&gt;N75,S75="")),"Verify full payment + payment ID",IF(OR(U75&lt;&gt;I75,V75&lt;&gt;G75,W75&lt;&gt;H75),"Complete matching attendee details",""))))))))</x:f>
      </x:c>
    </x:row>
    <x:row r="76" ht="22" customHeight="1">
      <x:c r="A76" s="9"/>
      <x:c r="B76" s="18"/>
      <x:c r="C76" s="9"/>
      <x:c r="D76" s="9"/>
      <x:c r="E76" s="19"/>
      <x:c r="F76" s="19"/>
      <x:c r="G76" s="9"/>
      <x:c r="H76" s="9"/>
      <x:c r="I76" s="13" t="str">
        <x:f>IF(A76="","",SUM(G76:H76))</x:f>
      </x:c>
      <x:c r="J76" s="20" t="n">
        <x:v>2999</x:v>
      </x:c>
      <x:c r="K76" s="20" t="n">
        <x:v>3999</x:v>
      </x:c>
      <x:c r="L76" s="14" t="str">
        <x:f>IF(A76="","",G76*J76+H76*K76)</x:f>
      </x:c>
      <x:c r="M76" s="20"/>
      <x:c r="N76" s="14" t="str">
        <x:f>IF(A76="","",IF(ISNUMBER(M76),ROUND(L76+M76,2),"Set added charges"))</x:f>
      </x:c>
      <x:c r="O76" s="9"/>
      <x:c r="P76" s="20"/>
      <x:c r="Q76" s="20"/>
      <x:c r="R76" s="19"/>
      <x:c r="S76" s="19"/>
      <x:c r="T76" s="14" t="str">
        <x:f>IF(A76="","",P76-Q76)</x:f>
      </x:c>
      <x:c r="U76" s="13" t="str">
        <x:f>IF(A76="","",COUNTIFS('Attendees'!$B$6:$B$205,A76,'Attendees'!$A$6:$A$205,"&lt;&gt;"))</x:f>
      </x:c>
      <x:c r="V76" s="13" t="str">
        <x:f>IF(A76="","",COUNTIFS('Attendees'!$B$6:$B$205,A76,'Attendees'!$F$6:$F$205,"Non-alcoholic",'Attendees'!$A$6:$A$205,"&lt;&gt;"))</x:f>
      </x:c>
      <x:c r="W76" s="13" t="str">
        <x:f>IF(A76="","",COUNTIFS('Attendees'!$B$6:$B$205,A76,'Attendees'!$F$6:$F$205,"Alcohol-inclusive",'Attendees'!$A$6:$A$205,"&lt;&gt;"))</x:f>
      </x:c>
      <x:c r="X76" s="9"/>
      <x:c r="Y76" s="13" t="str">
        <x:f>IF(A76="","",IF(COUNTIFS($A$6:$A$205,A76)&gt;1,"Duplicate booking ID",IF(OR(I76&lt;1,I76&gt;'Dashboard'!$E$10,G76&lt;0,H76&lt;0,G76&lt;&gt;INT(G76),H76&lt;&gt;INT(H76)),"Use 1–5 whole passes",IF(OR(C76="",E76="",F76=""),"Complete buyer name, phone and email",IF(NOT(ISNUMBER(M76)),"Set added charges (0 if none)",IF(AND(S76&lt;&gt;"",COUNTIFS($S$6:$S$205,S76)&gt;1),"Duplicate payment ID",IF(AND(O76="Confirmed",OR(P76&lt;&gt;N76,S76="")),"Verify full payment + payment ID",IF(OR(U76&lt;&gt;I76,V76&lt;&gt;G76,W76&lt;&gt;H76),"Complete matching attendee details",""))))))))</x:f>
      </x:c>
    </x:row>
    <x:row r="77" ht="22" customHeight="1">
      <x:c r="A77" s="9"/>
      <x:c r="B77" s="18"/>
      <x:c r="C77" s="9"/>
      <x:c r="D77" s="9"/>
      <x:c r="E77" s="19"/>
      <x:c r="F77" s="19"/>
      <x:c r="G77" s="9"/>
      <x:c r="H77" s="9"/>
      <x:c r="I77" s="13" t="str">
        <x:f>IF(A77="","",SUM(G77:H77))</x:f>
      </x:c>
      <x:c r="J77" s="20" t="n">
        <x:v>2999</x:v>
      </x:c>
      <x:c r="K77" s="20" t="n">
        <x:v>3999</x:v>
      </x:c>
      <x:c r="L77" s="14" t="str">
        <x:f>IF(A77="","",G77*J77+H77*K77)</x:f>
      </x:c>
      <x:c r="M77" s="20"/>
      <x:c r="N77" s="14" t="str">
        <x:f>IF(A77="","",IF(ISNUMBER(M77),ROUND(L77+M77,2),"Set added charges"))</x:f>
      </x:c>
      <x:c r="O77" s="9"/>
      <x:c r="P77" s="20"/>
      <x:c r="Q77" s="20"/>
      <x:c r="R77" s="19"/>
      <x:c r="S77" s="19"/>
      <x:c r="T77" s="14" t="str">
        <x:f>IF(A77="","",P77-Q77)</x:f>
      </x:c>
      <x:c r="U77" s="13" t="str">
        <x:f>IF(A77="","",COUNTIFS('Attendees'!$B$6:$B$205,A77,'Attendees'!$A$6:$A$205,"&lt;&gt;"))</x:f>
      </x:c>
      <x:c r="V77" s="13" t="str">
        <x:f>IF(A77="","",COUNTIFS('Attendees'!$B$6:$B$205,A77,'Attendees'!$F$6:$F$205,"Non-alcoholic",'Attendees'!$A$6:$A$205,"&lt;&gt;"))</x:f>
      </x:c>
      <x:c r="W77" s="13" t="str">
        <x:f>IF(A77="","",COUNTIFS('Attendees'!$B$6:$B$205,A77,'Attendees'!$F$6:$F$205,"Alcohol-inclusive",'Attendees'!$A$6:$A$205,"&lt;&gt;"))</x:f>
      </x:c>
      <x:c r="X77" s="9"/>
      <x:c r="Y77" s="13" t="str">
        <x:f>IF(A77="","",IF(COUNTIFS($A$6:$A$205,A77)&gt;1,"Duplicate booking ID",IF(OR(I77&lt;1,I77&gt;'Dashboard'!$E$10,G77&lt;0,H77&lt;0,G77&lt;&gt;INT(G77),H77&lt;&gt;INT(H77)),"Use 1–5 whole passes",IF(OR(C77="",E77="",F77=""),"Complete buyer name, phone and email",IF(NOT(ISNUMBER(M77)),"Set added charges (0 if none)",IF(AND(S77&lt;&gt;"",COUNTIFS($S$6:$S$205,S77)&gt;1),"Duplicate payment ID",IF(AND(O77="Confirmed",OR(P77&lt;&gt;N77,S77="")),"Verify full payment + payment ID",IF(OR(U77&lt;&gt;I77,V77&lt;&gt;G77,W77&lt;&gt;H77),"Complete matching attendee details",""))))))))</x:f>
      </x:c>
    </x:row>
    <x:row r="78" ht="22" customHeight="1">
      <x:c r="A78" s="9"/>
      <x:c r="B78" s="18"/>
      <x:c r="C78" s="9"/>
      <x:c r="D78" s="9"/>
      <x:c r="E78" s="19"/>
      <x:c r="F78" s="19"/>
      <x:c r="G78" s="9"/>
      <x:c r="H78" s="9"/>
      <x:c r="I78" s="13" t="str">
        <x:f>IF(A78="","",SUM(G78:H78))</x:f>
      </x:c>
      <x:c r="J78" s="20" t="n">
        <x:v>2999</x:v>
      </x:c>
      <x:c r="K78" s="20" t="n">
        <x:v>3999</x:v>
      </x:c>
      <x:c r="L78" s="14" t="str">
        <x:f>IF(A78="","",G78*J78+H78*K78)</x:f>
      </x:c>
      <x:c r="M78" s="20"/>
      <x:c r="N78" s="14" t="str">
        <x:f>IF(A78="","",IF(ISNUMBER(M78),ROUND(L78+M78,2),"Set added charges"))</x:f>
      </x:c>
      <x:c r="O78" s="9"/>
      <x:c r="P78" s="20"/>
      <x:c r="Q78" s="20"/>
      <x:c r="R78" s="19"/>
      <x:c r="S78" s="19"/>
      <x:c r="T78" s="14" t="str">
        <x:f>IF(A78="","",P78-Q78)</x:f>
      </x:c>
      <x:c r="U78" s="13" t="str">
        <x:f>IF(A78="","",COUNTIFS('Attendees'!$B$6:$B$205,A78,'Attendees'!$A$6:$A$205,"&lt;&gt;"))</x:f>
      </x:c>
      <x:c r="V78" s="13" t="str">
        <x:f>IF(A78="","",COUNTIFS('Attendees'!$B$6:$B$205,A78,'Attendees'!$F$6:$F$205,"Non-alcoholic",'Attendees'!$A$6:$A$205,"&lt;&gt;"))</x:f>
      </x:c>
      <x:c r="W78" s="13" t="str">
        <x:f>IF(A78="","",COUNTIFS('Attendees'!$B$6:$B$205,A78,'Attendees'!$F$6:$F$205,"Alcohol-inclusive",'Attendees'!$A$6:$A$205,"&lt;&gt;"))</x:f>
      </x:c>
      <x:c r="X78" s="9"/>
      <x:c r="Y78" s="13" t="str">
        <x:f>IF(A78="","",IF(COUNTIFS($A$6:$A$205,A78)&gt;1,"Duplicate booking ID",IF(OR(I78&lt;1,I78&gt;'Dashboard'!$E$10,G78&lt;0,H78&lt;0,G78&lt;&gt;INT(G78),H78&lt;&gt;INT(H78)),"Use 1–5 whole passes",IF(OR(C78="",E78="",F78=""),"Complete buyer name, phone and email",IF(NOT(ISNUMBER(M78)),"Set added charges (0 if none)",IF(AND(S78&lt;&gt;"",COUNTIFS($S$6:$S$205,S78)&gt;1),"Duplicate payment ID",IF(AND(O78="Confirmed",OR(P78&lt;&gt;N78,S78="")),"Verify full payment + payment ID",IF(OR(U78&lt;&gt;I78,V78&lt;&gt;G78,W78&lt;&gt;H78),"Complete matching attendee details",""))))))))</x:f>
      </x:c>
    </x:row>
    <x:row r="79" ht="22" customHeight="1">
      <x:c r="A79" s="9"/>
      <x:c r="B79" s="18"/>
      <x:c r="C79" s="9"/>
      <x:c r="D79" s="9"/>
      <x:c r="E79" s="19"/>
      <x:c r="F79" s="19"/>
      <x:c r="G79" s="9"/>
      <x:c r="H79" s="9"/>
      <x:c r="I79" s="13" t="str">
        <x:f>IF(A79="","",SUM(G79:H79))</x:f>
      </x:c>
      <x:c r="J79" s="20" t="n">
        <x:v>2999</x:v>
      </x:c>
      <x:c r="K79" s="20" t="n">
        <x:v>3999</x:v>
      </x:c>
      <x:c r="L79" s="14" t="str">
        <x:f>IF(A79="","",G79*J79+H79*K79)</x:f>
      </x:c>
      <x:c r="M79" s="20"/>
      <x:c r="N79" s="14" t="str">
        <x:f>IF(A79="","",IF(ISNUMBER(M79),ROUND(L79+M79,2),"Set added charges"))</x:f>
      </x:c>
      <x:c r="O79" s="9"/>
      <x:c r="P79" s="20"/>
      <x:c r="Q79" s="20"/>
      <x:c r="R79" s="19"/>
      <x:c r="S79" s="19"/>
      <x:c r="T79" s="14" t="str">
        <x:f>IF(A79="","",P79-Q79)</x:f>
      </x:c>
      <x:c r="U79" s="13" t="str">
        <x:f>IF(A79="","",COUNTIFS('Attendees'!$B$6:$B$205,A79,'Attendees'!$A$6:$A$205,"&lt;&gt;"))</x:f>
      </x:c>
      <x:c r="V79" s="13" t="str">
        <x:f>IF(A79="","",COUNTIFS('Attendees'!$B$6:$B$205,A79,'Attendees'!$F$6:$F$205,"Non-alcoholic",'Attendees'!$A$6:$A$205,"&lt;&gt;"))</x:f>
      </x:c>
      <x:c r="W79" s="13" t="str">
        <x:f>IF(A79="","",COUNTIFS('Attendees'!$B$6:$B$205,A79,'Attendees'!$F$6:$F$205,"Alcohol-inclusive",'Attendees'!$A$6:$A$205,"&lt;&gt;"))</x:f>
      </x:c>
      <x:c r="X79" s="9"/>
      <x:c r="Y79" s="13" t="str">
        <x:f>IF(A79="","",IF(COUNTIFS($A$6:$A$205,A79)&gt;1,"Duplicate booking ID",IF(OR(I79&lt;1,I79&gt;'Dashboard'!$E$10,G79&lt;0,H79&lt;0,G79&lt;&gt;INT(G79),H79&lt;&gt;INT(H79)),"Use 1–5 whole passes",IF(OR(C79="",E79="",F79=""),"Complete buyer name, phone and email",IF(NOT(ISNUMBER(M79)),"Set added charges (0 if none)",IF(AND(S79&lt;&gt;"",COUNTIFS($S$6:$S$205,S79)&gt;1),"Duplicate payment ID",IF(AND(O79="Confirmed",OR(P79&lt;&gt;N79,S79="")),"Verify full payment + payment ID",IF(OR(U79&lt;&gt;I79,V79&lt;&gt;G79,W79&lt;&gt;H79),"Complete matching attendee details",""))))))))</x:f>
      </x:c>
    </x:row>
    <x:row r="80" ht="22" customHeight="1">
      <x:c r="A80" s="9"/>
      <x:c r="B80" s="18"/>
      <x:c r="C80" s="9"/>
      <x:c r="D80" s="9"/>
      <x:c r="E80" s="19"/>
      <x:c r="F80" s="19"/>
      <x:c r="G80" s="9"/>
      <x:c r="H80" s="9"/>
      <x:c r="I80" s="13" t="str">
        <x:f>IF(A80="","",SUM(G80:H80))</x:f>
      </x:c>
      <x:c r="J80" s="20" t="n">
        <x:v>2999</x:v>
      </x:c>
      <x:c r="K80" s="20" t="n">
        <x:v>3999</x:v>
      </x:c>
      <x:c r="L80" s="14" t="str">
        <x:f>IF(A80="","",G80*J80+H80*K80)</x:f>
      </x:c>
      <x:c r="M80" s="20"/>
      <x:c r="N80" s="14" t="str">
        <x:f>IF(A80="","",IF(ISNUMBER(M80),ROUND(L80+M80,2),"Set added charges"))</x:f>
      </x:c>
      <x:c r="O80" s="9"/>
      <x:c r="P80" s="20"/>
      <x:c r="Q80" s="20"/>
      <x:c r="R80" s="19"/>
      <x:c r="S80" s="19"/>
      <x:c r="T80" s="14" t="str">
        <x:f>IF(A80="","",P80-Q80)</x:f>
      </x:c>
      <x:c r="U80" s="13" t="str">
        <x:f>IF(A80="","",COUNTIFS('Attendees'!$B$6:$B$205,A80,'Attendees'!$A$6:$A$205,"&lt;&gt;"))</x:f>
      </x:c>
      <x:c r="V80" s="13" t="str">
        <x:f>IF(A80="","",COUNTIFS('Attendees'!$B$6:$B$205,A80,'Attendees'!$F$6:$F$205,"Non-alcoholic",'Attendees'!$A$6:$A$205,"&lt;&gt;"))</x:f>
      </x:c>
      <x:c r="W80" s="13" t="str">
        <x:f>IF(A80="","",COUNTIFS('Attendees'!$B$6:$B$205,A80,'Attendees'!$F$6:$F$205,"Alcohol-inclusive",'Attendees'!$A$6:$A$205,"&lt;&gt;"))</x:f>
      </x:c>
      <x:c r="X80" s="9"/>
      <x:c r="Y80" s="13" t="str">
        <x:f>IF(A80="","",IF(COUNTIFS($A$6:$A$205,A80)&gt;1,"Duplicate booking ID",IF(OR(I80&lt;1,I80&gt;'Dashboard'!$E$10,G80&lt;0,H80&lt;0,G80&lt;&gt;INT(G80),H80&lt;&gt;INT(H80)),"Use 1–5 whole passes",IF(OR(C80="",E80="",F80=""),"Complete buyer name, phone and email",IF(NOT(ISNUMBER(M80)),"Set added charges (0 if none)",IF(AND(S80&lt;&gt;"",COUNTIFS($S$6:$S$205,S80)&gt;1),"Duplicate payment ID",IF(AND(O80="Confirmed",OR(P80&lt;&gt;N80,S80="")),"Verify full payment + payment ID",IF(OR(U80&lt;&gt;I80,V80&lt;&gt;G80,W80&lt;&gt;H80),"Complete matching attendee details",""))))))))</x:f>
      </x:c>
    </x:row>
    <x:row r="81" ht="22" customHeight="1">
      <x:c r="A81" s="9"/>
      <x:c r="B81" s="18"/>
      <x:c r="C81" s="9"/>
      <x:c r="D81" s="9"/>
      <x:c r="E81" s="19"/>
      <x:c r="F81" s="19"/>
      <x:c r="G81" s="9"/>
      <x:c r="H81" s="9"/>
      <x:c r="I81" s="13" t="str">
        <x:f>IF(A81="","",SUM(G81:H81))</x:f>
      </x:c>
      <x:c r="J81" s="20" t="n">
        <x:v>2999</x:v>
      </x:c>
      <x:c r="K81" s="20" t="n">
        <x:v>3999</x:v>
      </x:c>
      <x:c r="L81" s="14" t="str">
        <x:f>IF(A81="","",G81*J81+H81*K81)</x:f>
      </x:c>
      <x:c r="M81" s="20"/>
      <x:c r="N81" s="14" t="str">
        <x:f>IF(A81="","",IF(ISNUMBER(M81),ROUND(L81+M81,2),"Set added charges"))</x:f>
      </x:c>
      <x:c r="O81" s="9"/>
      <x:c r="P81" s="20"/>
      <x:c r="Q81" s="20"/>
      <x:c r="R81" s="19"/>
      <x:c r="S81" s="19"/>
      <x:c r="T81" s="14" t="str">
        <x:f>IF(A81="","",P81-Q81)</x:f>
      </x:c>
      <x:c r="U81" s="13" t="str">
        <x:f>IF(A81="","",COUNTIFS('Attendees'!$B$6:$B$205,A81,'Attendees'!$A$6:$A$205,"&lt;&gt;"))</x:f>
      </x:c>
      <x:c r="V81" s="13" t="str">
        <x:f>IF(A81="","",COUNTIFS('Attendees'!$B$6:$B$205,A81,'Attendees'!$F$6:$F$205,"Non-alcoholic",'Attendees'!$A$6:$A$205,"&lt;&gt;"))</x:f>
      </x:c>
      <x:c r="W81" s="13" t="str">
        <x:f>IF(A81="","",COUNTIFS('Attendees'!$B$6:$B$205,A81,'Attendees'!$F$6:$F$205,"Alcohol-inclusive",'Attendees'!$A$6:$A$205,"&lt;&gt;"))</x:f>
      </x:c>
      <x:c r="X81" s="9"/>
      <x:c r="Y81" s="13" t="str">
        <x:f>IF(A81="","",IF(COUNTIFS($A$6:$A$205,A81)&gt;1,"Duplicate booking ID",IF(OR(I81&lt;1,I81&gt;'Dashboard'!$E$10,G81&lt;0,H81&lt;0,G81&lt;&gt;INT(G81),H81&lt;&gt;INT(H81)),"Use 1–5 whole passes",IF(OR(C81="",E81="",F81=""),"Complete buyer name, phone and email",IF(NOT(ISNUMBER(M81)),"Set added charges (0 if none)",IF(AND(S81&lt;&gt;"",COUNTIFS($S$6:$S$205,S81)&gt;1),"Duplicate payment ID",IF(AND(O81="Confirmed",OR(P81&lt;&gt;N81,S81="")),"Verify full payment + payment ID",IF(OR(U81&lt;&gt;I81,V81&lt;&gt;G81,W81&lt;&gt;H81),"Complete matching attendee details",""))))))))</x:f>
      </x:c>
    </x:row>
    <x:row r="82" ht="22" customHeight="1">
      <x:c r="A82" s="9"/>
      <x:c r="B82" s="18"/>
      <x:c r="C82" s="9"/>
      <x:c r="D82" s="9"/>
      <x:c r="E82" s="19"/>
      <x:c r="F82" s="19"/>
      <x:c r="G82" s="9"/>
      <x:c r="H82" s="9"/>
      <x:c r="I82" s="13" t="str">
        <x:f>IF(A82="","",SUM(G82:H82))</x:f>
      </x:c>
      <x:c r="J82" s="20" t="n">
        <x:v>2999</x:v>
      </x:c>
      <x:c r="K82" s="20" t="n">
        <x:v>3999</x:v>
      </x:c>
      <x:c r="L82" s="14" t="str">
        <x:f>IF(A82="","",G82*J82+H82*K82)</x:f>
      </x:c>
      <x:c r="M82" s="20"/>
      <x:c r="N82" s="14" t="str">
        <x:f>IF(A82="","",IF(ISNUMBER(M82),ROUND(L82+M82,2),"Set added charges"))</x:f>
      </x:c>
      <x:c r="O82" s="9"/>
      <x:c r="P82" s="20"/>
      <x:c r="Q82" s="20"/>
      <x:c r="R82" s="19"/>
      <x:c r="S82" s="19"/>
      <x:c r="T82" s="14" t="str">
        <x:f>IF(A82="","",P82-Q82)</x:f>
      </x:c>
      <x:c r="U82" s="13" t="str">
        <x:f>IF(A82="","",COUNTIFS('Attendees'!$B$6:$B$205,A82,'Attendees'!$A$6:$A$205,"&lt;&gt;"))</x:f>
      </x:c>
      <x:c r="V82" s="13" t="str">
        <x:f>IF(A82="","",COUNTIFS('Attendees'!$B$6:$B$205,A82,'Attendees'!$F$6:$F$205,"Non-alcoholic",'Attendees'!$A$6:$A$205,"&lt;&gt;"))</x:f>
      </x:c>
      <x:c r="W82" s="13" t="str">
        <x:f>IF(A82="","",COUNTIFS('Attendees'!$B$6:$B$205,A82,'Attendees'!$F$6:$F$205,"Alcohol-inclusive",'Attendees'!$A$6:$A$205,"&lt;&gt;"))</x:f>
      </x:c>
      <x:c r="X82" s="9"/>
      <x:c r="Y82" s="13" t="str">
        <x:f>IF(A82="","",IF(COUNTIFS($A$6:$A$205,A82)&gt;1,"Duplicate booking ID",IF(OR(I82&lt;1,I82&gt;'Dashboard'!$E$10,G82&lt;0,H82&lt;0,G82&lt;&gt;INT(G82),H82&lt;&gt;INT(H82)),"Use 1–5 whole passes",IF(OR(C82="",E82="",F82=""),"Complete buyer name, phone and email",IF(NOT(ISNUMBER(M82)),"Set added charges (0 if none)",IF(AND(S82&lt;&gt;"",COUNTIFS($S$6:$S$205,S82)&gt;1),"Duplicate payment ID",IF(AND(O82="Confirmed",OR(P82&lt;&gt;N82,S82="")),"Verify full payment + payment ID",IF(OR(U82&lt;&gt;I82,V82&lt;&gt;G82,W82&lt;&gt;H82),"Complete matching attendee details",""))))))))</x:f>
      </x:c>
    </x:row>
    <x:row r="83" ht="22" customHeight="1">
      <x:c r="A83" s="9"/>
      <x:c r="B83" s="18"/>
      <x:c r="C83" s="9"/>
      <x:c r="D83" s="9"/>
      <x:c r="E83" s="19"/>
      <x:c r="F83" s="19"/>
      <x:c r="G83" s="9"/>
      <x:c r="H83" s="9"/>
      <x:c r="I83" s="13" t="str">
        <x:f>IF(A83="","",SUM(G83:H83))</x:f>
      </x:c>
      <x:c r="J83" s="20" t="n">
        <x:v>2999</x:v>
      </x:c>
      <x:c r="K83" s="20" t="n">
        <x:v>3999</x:v>
      </x:c>
      <x:c r="L83" s="14" t="str">
        <x:f>IF(A83="","",G83*J83+H83*K83)</x:f>
      </x:c>
      <x:c r="M83" s="20"/>
      <x:c r="N83" s="14" t="str">
        <x:f>IF(A83="","",IF(ISNUMBER(M83),ROUND(L83+M83,2),"Set added charges"))</x:f>
      </x:c>
      <x:c r="O83" s="9"/>
      <x:c r="P83" s="20"/>
      <x:c r="Q83" s="20"/>
      <x:c r="R83" s="19"/>
      <x:c r="S83" s="19"/>
      <x:c r="T83" s="14" t="str">
        <x:f>IF(A83="","",P83-Q83)</x:f>
      </x:c>
      <x:c r="U83" s="13" t="str">
        <x:f>IF(A83="","",COUNTIFS('Attendees'!$B$6:$B$205,A83,'Attendees'!$A$6:$A$205,"&lt;&gt;"))</x:f>
      </x:c>
      <x:c r="V83" s="13" t="str">
        <x:f>IF(A83="","",COUNTIFS('Attendees'!$B$6:$B$205,A83,'Attendees'!$F$6:$F$205,"Non-alcoholic",'Attendees'!$A$6:$A$205,"&lt;&gt;"))</x:f>
      </x:c>
      <x:c r="W83" s="13" t="str">
        <x:f>IF(A83="","",COUNTIFS('Attendees'!$B$6:$B$205,A83,'Attendees'!$F$6:$F$205,"Alcohol-inclusive",'Attendees'!$A$6:$A$205,"&lt;&gt;"))</x:f>
      </x:c>
      <x:c r="X83" s="9"/>
      <x:c r="Y83" s="13" t="str">
        <x:f>IF(A83="","",IF(COUNTIFS($A$6:$A$205,A83)&gt;1,"Duplicate booking ID",IF(OR(I83&lt;1,I83&gt;'Dashboard'!$E$10,G83&lt;0,H83&lt;0,G83&lt;&gt;INT(G83),H83&lt;&gt;INT(H83)),"Use 1–5 whole passes",IF(OR(C83="",E83="",F83=""),"Complete buyer name, phone and email",IF(NOT(ISNUMBER(M83)),"Set added charges (0 if none)",IF(AND(S83&lt;&gt;"",COUNTIFS($S$6:$S$205,S83)&gt;1),"Duplicate payment ID",IF(AND(O83="Confirmed",OR(P83&lt;&gt;N83,S83="")),"Verify full payment + payment ID",IF(OR(U83&lt;&gt;I83,V83&lt;&gt;G83,W83&lt;&gt;H83),"Complete matching attendee details",""))))))))</x:f>
      </x:c>
    </x:row>
    <x:row r="84" ht="22" customHeight="1">
      <x:c r="A84" s="9"/>
      <x:c r="B84" s="18"/>
      <x:c r="C84" s="9"/>
      <x:c r="D84" s="9"/>
      <x:c r="E84" s="19"/>
      <x:c r="F84" s="19"/>
      <x:c r="G84" s="9"/>
      <x:c r="H84" s="9"/>
      <x:c r="I84" s="13" t="str">
        <x:f>IF(A84="","",SUM(G84:H84))</x:f>
      </x:c>
      <x:c r="J84" s="20" t="n">
        <x:v>2999</x:v>
      </x:c>
      <x:c r="K84" s="20" t="n">
        <x:v>3999</x:v>
      </x:c>
      <x:c r="L84" s="14" t="str">
        <x:f>IF(A84="","",G84*J84+H84*K84)</x:f>
      </x:c>
      <x:c r="M84" s="20"/>
      <x:c r="N84" s="14" t="str">
        <x:f>IF(A84="","",IF(ISNUMBER(M84),ROUND(L84+M84,2),"Set added charges"))</x:f>
      </x:c>
      <x:c r="O84" s="9"/>
      <x:c r="P84" s="20"/>
      <x:c r="Q84" s="20"/>
      <x:c r="R84" s="19"/>
      <x:c r="S84" s="19"/>
      <x:c r="T84" s="14" t="str">
        <x:f>IF(A84="","",P84-Q84)</x:f>
      </x:c>
      <x:c r="U84" s="13" t="str">
        <x:f>IF(A84="","",COUNTIFS('Attendees'!$B$6:$B$205,A84,'Attendees'!$A$6:$A$205,"&lt;&gt;"))</x:f>
      </x:c>
      <x:c r="V84" s="13" t="str">
        <x:f>IF(A84="","",COUNTIFS('Attendees'!$B$6:$B$205,A84,'Attendees'!$F$6:$F$205,"Non-alcoholic",'Attendees'!$A$6:$A$205,"&lt;&gt;"))</x:f>
      </x:c>
      <x:c r="W84" s="13" t="str">
        <x:f>IF(A84="","",COUNTIFS('Attendees'!$B$6:$B$205,A84,'Attendees'!$F$6:$F$205,"Alcohol-inclusive",'Attendees'!$A$6:$A$205,"&lt;&gt;"))</x:f>
      </x:c>
      <x:c r="X84" s="9"/>
      <x:c r="Y84" s="13" t="str">
        <x:f>IF(A84="","",IF(COUNTIFS($A$6:$A$205,A84)&gt;1,"Duplicate booking ID",IF(OR(I84&lt;1,I84&gt;'Dashboard'!$E$10,G84&lt;0,H84&lt;0,G84&lt;&gt;INT(G84),H84&lt;&gt;INT(H84)),"Use 1–5 whole passes",IF(OR(C84="",E84="",F84=""),"Complete buyer name, phone and email",IF(NOT(ISNUMBER(M84)),"Set added charges (0 if none)",IF(AND(S84&lt;&gt;"",COUNTIFS($S$6:$S$205,S84)&gt;1),"Duplicate payment ID",IF(AND(O84="Confirmed",OR(P84&lt;&gt;N84,S84="")),"Verify full payment + payment ID",IF(OR(U84&lt;&gt;I84,V84&lt;&gt;G84,W84&lt;&gt;H84),"Complete matching attendee details",""))))))))</x:f>
      </x:c>
    </x:row>
    <x:row r="85" ht="22" customHeight="1">
      <x:c r="A85" s="9"/>
      <x:c r="B85" s="18"/>
      <x:c r="C85" s="9"/>
      <x:c r="D85" s="9"/>
      <x:c r="E85" s="19"/>
      <x:c r="F85" s="19"/>
      <x:c r="G85" s="9"/>
      <x:c r="H85" s="9"/>
      <x:c r="I85" s="13" t="str">
        <x:f>IF(A85="","",SUM(G85:H85))</x:f>
      </x:c>
      <x:c r="J85" s="20" t="n">
        <x:v>2999</x:v>
      </x:c>
      <x:c r="K85" s="20" t="n">
        <x:v>3999</x:v>
      </x:c>
      <x:c r="L85" s="14" t="str">
        <x:f>IF(A85="","",G85*J85+H85*K85)</x:f>
      </x:c>
      <x:c r="M85" s="20"/>
      <x:c r="N85" s="14" t="str">
        <x:f>IF(A85="","",IF(ISNUMBER(M85),ROUND(L85+M85,2),"Set added charges"))</x:f>
      </x:c>
      <x:c r="O85" s="9"/>
      <x:c r="P85" s="20"/>
      <x:c r="Q85" s="20"/>
      <x:c r="R85" s="19"/>
      <x:c r="S85" s="19"/>
      <x:c r="T85" s="14" t="str">
        <x:f>IF(A85="","",P85-Q85)</x:f>
      </x:c>
      <x:c r="U85" s="13" t="str">
        <x:f>IF(A85="","",COUNTIFS('Attendees'!$B$6:$B$205,A85,'Attendees'!$A$6:$A$205,"&lt;&gt;"))</x:f>
      </x:c>
      <x:c r="V85" s="13" t="str">
        <x:f>IF(A85="","",COUNTIFS('Attendees'!$B$6:$B$205,A85,'Attendees'!$F$6:$F$205,"Non-alcoholic",'Attendees'!$A$6:$A$205,"&lt;&gt;"))</x:f>
      </x:c>
      <x:c r="W85" s="13" t="str">
        <x:f>IF(A85="","",COUNTIFS('Attendees'!$B$6:$B$205,A85,'Attendees'!$F$6:$F$205,"Alcohol-inclusive",'Attendees'!$A$6:$A$205,"&lt;&gt;"))</x:f>
      </x:c>
      <x:c r="X85" s="9"/>
      <x:c r="Y85" s="13" t="str">
        <x:f>IF(A85="","",IF(COUNTIFS($A$6:$A$205,A85)&gt;1,"Duplicate booking ID",IF(OR(I85&lt;1,I85&gt;'Dashboard'!$E$10,G85&lt;0,H85&lt;0,G85&lt;&gt;INT(G85),H85&lt;&gt;INT(H85)),"Use 1–5 whole passes",IF(OR(C85="",E85="",F85=""),"Complete buyer name, phone and email",IF(NOT(ISNUMBER(M85)),"Set added charges (0 if none)",IF(AND(S85&lt;&gt;"",COUNTIFS($S$6:$S$205,S85)&gt;1),"Duplicate payment ID",IF(AND(O85="Confirmed",OR(P85&lt;&gt;N85,S85="")),"Verify full payment + payment ID",IF(OR(U85&lt;&gt;I85,V85&lt;&gt;G85,W85&lt;&gt;H85),"Complete matching attendee details",""))))))))</x:f>
      </x:c>
    </x:row>
    <x:row r="86" ht="22" customHeight="1">
      <x:c r="A86" s="9"/>
      <x:c r="B86" s="18"/>
      <x:c r="C86" s="9"/>
      <x:c r="D86" s="9"/>
      <x:c r="E86" s="19"/>
      <x:c r="F86" s="19"/>
      <x:c r="G86" s="9"/>
      <x:c r="H86" s="9"/>
      <x:c r="I86" s="13" t="str">
        <x:f>IF(A86="","",SUM(G86:H86))</x:f>
      </x:c>
      <x:c r="J86" s="20" t="n">
        <x:v>2999</x:v>
      </x:c>
      <x:c r="K86" s="20" t="n">
        <x:v>3999</x:v>
      </x:c>
      <x:c r="L86" s="14" t="str">
        <x:f>IF(A86="","",G86*J86+H86*K86)</x:f>
      </x:c>
      <x:c r="M86" s="20"/>
      <x:c r="N86" s="14" t="str">
        <x:f>IF(A86="","",IF(ISNUMBER(M86),ROUND(L86+M86,2),"Set added charges"))</x:f>
      </x:c>
      <x:c r="O86" s="9"/>
      <x:c r="P86" s="20"/>
      <x:c r="Q86" s="20"/>
      <x:c r="R86" s="19"/>
      <x:c r="S86" s="19"/>
      <x:c r="T86" s="14" t="str">
        <x:f>IF(A86="","",P86-Q86)</x:f>
      </x:c>
      <x:c r="U86" s="13" t="str">
        <x:f>IF(A86="","",COUNTIFS('Attendees'!$B$6:$B$205,A86,'Attendees'!$A$6:$A$205,"&lt;&gt;"))</x:f>
      </x:c>
      <x:c r="V86" s="13" t="str">
        <x:f>IF(A86="","",COUNTIFS('Attendees'!$B$6:$B$205,A86,'Attendees'!$F$6:$F$205,"Non-alcoholic",'Attendees'!$A$6:$A$205,"&lt;&gt;"))</x:f>
      </x:c>
      <x:c r="W86" s="13" t="str">
        <x:f>IF(A86="","",COUNTIFS('Attendees'!$B$6:$B$205,A86,'Attendees'!$F$6:$F$205,"Alcohol-inclusive",'Attendees'!$A$6:$A$205,"&lt;&gt;"))</x:f>
      </x:c>
      <x:c r="X86" s="9"/>
      <x:c r="Y86" s="13" t="str">
        <x:f>IF(A86="","",IF(COUNTIFS($A$6:$A$205,A86)&gt;1,"Duplicate booking ID",IF(OR(I86&lt;1,I86&gt;'Dashboard'!$E$10,G86&lt;0,H86&lt;0,G86&lt;&gt;INT(G86),H86&lt;&gt;INT(H86)),"Use 1–5 whole passes",IF(OR(C86="",E86="",F86=""),"Complete buyer name, phone and email",IF(NOT(ISNUMBER(M86)),"Set added charges (0 if none)",IF(AND(S86&lt;&gt;"",COUNTIFS($S$6:$S$205,S86)&gt;1),"Duplicate payment ID",IF(AND(O86="Confirmed",OR(P86&lt;&gt;N86,S86="")),"Verify full payment + payment ID",IF(OR(U86&lt;&gt;I86,V86&lt;&gt;G86,W86&lt;&gt;H86),"Complete matching attendee details",""))))))))</x:f>
      </x:c>
    </x:row>
    <x:row r="87" ht="22" customHeight="1">
      <x:c r="A87" s="9"/>
      <x:c r="B87" s="18"/>
      <x:c r="C87" s="9"/>
      <x:c r="D87" s="9"/>
      <x:c r="E87" s="19"/>
      <x:c r="F87" s="19"/>
      <x:c r="G87" s="9"/>
      <x:c r="H87" s="9"/>
      <x:c r="I87" s="13" t="str">
        <x:f>IF(A87="","",SUM(G87:H87))</x:f>
      </x:c>
      <x:c r="J87" s="20" t="n">
        <x:v>2999</x:v>
      </x:c>
      <x:c r="K87" s="20" t="n">
        <x:v>3999</x:v>
      </x:c>
      <x:c r="L87" s="14" t="str">
        <x:f>IF(A87="","",G87*J87+H87*K87)</x:f>
      </x:c>
      <x:c r="M87" s="20"/>
      <x:c r="N87" s="14" t="str">
        <x:f>IF(A87="","",IF(ISNUMBER(M87),ROUND(L87+M87,2),"Set added charges"))</x:f>
      </x:c>
      <x:c r="O87" s="9"/>
      <x:c r="P87" s="20"/>
      <x:c r="Q87" s="20"/>
      <x:c r="R87" s="19"/>
      <x:c r="S87" s="19"/>
      <x:c r="T87" s="14" t="str">
        <x:f>IF(A87="","",P87-Q87)</x:f>
      </x:c>
      <x:c r="U87" s="13" t="str">
        <x:f>IF(A87="","",COUNTIFS('Attendees'!$B$6:$B$205,A87,'Attendees'!$A$6:$A$205,"&lt;&gt;"))</x:f>
      </x:c>
      <x:c r="V87" s="13" t="str">
        <x:f>IF(A87="","",COUNTIFS('Attendees'!$B$6:$B$205,A87,'Attendees'!$F$6:$F$205,"Non-alcoholic",'Attendees'!$A$6:$A$205,"&lt;&gt;"))</x:f>
      </x:c>
      <x:c r="W87" s="13" t="str">
        <x:f>IF(A87="","",COUNTIFS('Attendees'!$B$6:$B$205,A87,'Attendees'!$F$6:$F$205,"Alcohol-inclusive",'Attendees'!$A$6:$A$205,"&lt;&gt;"))</x:f>
      </x:c>
      <x:c r="X87" s="9"/>
      <x:c r="Y87" s="13" t="str">
        <x:f>IF(A87="","",IF(COUNTIFS($A$6:$A$205,A87)&gt;1,"Duplicate booking ID",IF(OR(I87&lt;1,I87&gt;'Dashboard'!$E$10,G87&lt;0,H87&lt;0,G87&lt;&gt;INT(G87),H87&lt;&gt;INT(H87)),"Use 1–5 whole passes",IF(OR(C87="",E87="",F87=""),"Complete buyer name, phone and email",IF(NOT(ISNUMBER(M87)),"Set added charges (0 if none)",IF(AND(S87&lt;&gt;"",COUNTIFS($S$6:$S$205,S87)&gt;1),"Duplicate payment ID",IF(AND(O87="Confirmed",OR(P87&lt;&gt;N87,S87="")),"Verify full payment + payment ID",IF(OR(U87&lt;&gt;I87,V87&lt;&gt;G87,W87&lt;&gt;H87),"Complete matching attendee details",""))))))))</x:f>
      </x:c>
    </x:row>
    <x:row r="88" ht="22" customHeight="1">
      <x:c r="A88" s="9"/>
      <x:c r="B88" s="18"/>
      <x:c r="C88" s="9"/>
      <x:c r="D88" s="9"/>
      <x:c r="E88" s="19"/>
      <x:c r="F88" s="19"/>
      <x:c r="G88" s="9"/>
      <x:c r="H88" s="9"/>
      <x:c r="I88" s="13" t="str">
        <x:f>IF(A88="","",SUM(G88:H88))</x:f>
      </x:c>
      <x:c r="J88" s="20" t="n">
        <x:v>2999</x:v>
      </x:c>
      <x:c r="K88" s="20" t="n">
        <x:v>3999</x:v>
      </x:c>
      <x:c r="L88" s="14" t="str">
        <x:f>IF(A88="","",G88*J88+H88*K88)</x:f>
      </x:c>
      <x:c r="M88" s="20"/>
      <x:c r="N88" s="14" t="str">
        <x:f>IF(A88="","",IF(ISNUMBER(M88),ROUND(L88+M88,2),"Set added charges"))</x:f>
      </x:c>
      <x:c r="O88" s="9"/>
      <x:c r="P88" s="20"/>
      <x:c r="Q88" s="20"/>
      <x:c r="R88" s="19"/>
      <x:c r="S88" s="19"/>
      <x:c r="T88" s="14" t="str">
        <x:f>IF(A88="","",P88-Q88)</x:f>
      </x:c>
      <x:c r="U88" s="13" t="str">
        <x:f>IF(A88="","",COUNTIFS('Attendees'!$B$6:$B$205,A88,'Attendees'!$A$6:$A$205,"&lt;&gt;"))</x:f>
      </x:c>
      <x:c r="V88" s="13" t="str">
        <x:f>IF(A88="","",COUNTIFS('Attendees'!$B$6:$B$205,A88,'Attendees'!$F$6:$F$205,"Non-alcoholic",'Attendees'!$A$6:$A$205,"&lt;&gt;"))</x:f>
      </x:c>
      <x:c r="W88" s="13" t="str">
        <x:f>IF(A88="","",COUNTIFS('Attendees'!$B$6:$B$205,A88,'Attendees'!$F$6:$F$205,"Alcohol-inclusive",'Attendees'!$A$6:$A$205,"&lt;&gt;"))</x:f>
      </x:c>
      <x:c r="X88" s="9"/>
      <x:c r="Y88" s="13" t="str">
        <x:f>IF(A88="","",IF(COUNTIFS($A$6:$A$205,A88)&gt;1,"Duplicate booking ID",IF(OR(I88&lt;1,I88&gt;'Dashboard'!$E$10,G88&lt;0,H88&lt;0,G88&lt;&gt;INT(G88),H88&lt;&gt;INT(H88)),"Use 1–5 whole passes",IF(OR(C88="",E88="",F88=""),"Complete buyer name, phone and email",IF(NOT(ISNUMBER(M88)),"Set added charges (0 if none)",IF(AND(S88&lt;&gt;"",COUNTIFS($S$6:$S$205,S88)&gt;1),"Duplicate payment ID",IF(AND(O88="Confirmed",OR(P88&lt;&gt;N88,S88="")),"Verify full payment + payment ID",IF(OR(U88&lt;&gt;I88,V88&lt;&gt;G88,W88&lt;&gt;H88),"Complete matching attendee details",""))))))))</x:f>
      </x:c>
    </x:row>
    <x:row r="89" ht="22" customHeight="1">
      <x:c r="A89" s="9"/>
      <x:c r="B89" s="18"/>
      <x:c r="C89" s="9"/>
      <x:c r="D89" s="9"/>
      <x:c r="E89" s="19"/>
      <x:c r="F89" s="19"/>
      <x:c r="G89" s="9"/>
      <x:c r="H89" s="9"/>
      <x:c r="I89" s="13" t="str">
        <x:f>IF(A89="","",SUM(G89:H89))</x:f>
      </x:c>
      <x:c r="J89" s="20" t="n">
        <x:v>2999</x:v>
      </x:c>
      <x:c r="K89" s="20" t="n">
        <x:v>3999</x:v>
      </x:c>
      <x:c r="L89" s="14" t="str">
        <x:f>IF(A89="","",G89*J89+H89*K89)</x:f>
      </x:c>
      <x:c r="M89" s="20"/>
      <x:c r="N89" s="14" t="str">
        <x:f>IF(A89="","",IF(ISNUMBER(M89),ROUND(L89+M89,2),"Set added charges"))</x:f>
      </x:c>
      <x:c r="O89" s="9"/>
      <x:c r="P89" s="20"/>
      <x:c r="Q89" s="20"/>
      <x:c r="R89" s="19"/>
      <x:c r="S89" s="19"/>
      <x:c r="T89" s="14" t="str">
        <x:f>IF(A89="","",P89-Q89)</x:f>
      </x:c>
      <x:c r="U89" s="13" t="str">
        <x:f>IF(A89="","",COUNTIFS('Attendees'!$B$6:$B$205,A89,'Attendees'!$A$6:$A$205,"&lt;&gt;"))</x:f>
      </x:c>
      <x:c r="V89" s="13" t="str">
        <x:f>IF(A89="","",COUNTIFS('Attendees'!$B$6:$B$205,A89,'Attendees'!$F$6:$F$205,"Non-alcoholic",'Attendees'!$A$6:$A$205,"&lt;&gt;"))</x:f>
      </x:c>
      <x:c r="W89" s="13" t="str">
        <x:f>IF(A89="","",COUNTIFS('Attendees'!$B$6:$B$205,A89,'Attendees'!$F$6:$F$205,"Alcohol-inclusive",'Attendees'!$A$6:$A$205,"&lt;&gt;"))</x:f>
      </x:c>
      <x:c r="X89" s="9"/>
      <x:c r="Y89" s="13" t="str">
        <x:f>IF(A89="","",IF(COUNTIFS($A$6:$A$205,A89)&gt;1,"Duplicate booking ID",IF(OR(I89&lt;1,I89&gt;'Dashboard'!$E$10,G89&lt;0,H89&lt;0,G89&lt;&gt;INT(G89),H89&lt;&gt;INT(H89)),"Use 1–5 whole passes",IF(OR(C89="",E89="",F89=""),"Complete buyer name, phone and email",IF(NOT(ISNUMBER(M89)),"Set added charges (0 if none)",IF(AND(S89&lt;&gt;"",COUNTIFS($S$6:$S$205,S89)&gt;1),"Duplicate payment ID",IF(AND(O89="Confirmed",OR(P89&lt;&gt;N89,S89="")),"Verify full payment + payment ID",IF(OR(U89&lt;&gt;I89,V89&lt;&gt;G89,W89&lt;&gt;H89),"Complete matching attendee details",""))))))))</x:f>
      </x:c>
    </x:row>
    <x:row r="90" ht="22" customHeight="1">
      <x:c r="A90" s="9"/>
      <x:c r="B90" s="18"/>
      <x:c r="C90" s="9"/>
      <x:c r="D90" s="9"/>
      <x:c r="E90" s="19"/>
      <x:c r="F90" s="19"/>
      <x:c r="G90" s="9"/>
      <x:c r="H90" s="9"/>
      <x:c r="I90" s="13" t="str">
        <x:f>IF(A90="","",SUM(G90:H90))</x:f>
      </x:c>
      <x:c r="J90" s="20" t="n">
        <x:v>2999</x:v>
      </x:c>
      <x:c r="K90" s="20" t="n">
        <x:v>3999</x:v>
      </x:c>
      <x:c r="L90" s="14" t="str">
        <x:f>IF(A90="","",G90*J90+H90*K90)</x:f>
      </x:c>
      <x:c r="M90" s="20"/>
      <x:c r="N90" s="14" t="str">
        <x:f>IF(A90="","",IF(ISNUMBER(M90),ROUND(L90+M90,2),"Set added charges"))</x:f>
      </x:c>
      <x:c r="O90" s="9"/>
      <x:c r="P90" s="20"/>
      <x:c r="Q90" s="20"/>
      <x:c r="R90" s="19"/>
      <x:c r="S90" s="19"/>
      <x:c r="T90" s="14" t="str">
        <x:f>IF(A90="","",P90-Q90)</x:f>
      </x:c>
      <x:c r="U90" s="13" t="str">
        <x:f>IF(A90="","",COUNTIFS('Attendees'!$B$6:$B$205,A90,'Attendees'!$A$6:$A$205,"&lt;&gt;"))</x:f>
      </x:c>
      <x:c r="V90" s="13" t="str">
        <x:f>IF(A90="","",COUNTIFS('Attendees'!$B$6:$B$205,A90,'Attendees'!$F$6:$F$205,"Non-alcoholic",'Attendees'!$A$6:$A$205,"&lt;&gt;"))</x:f>
      </x:c>
      <x:c r="W90" s="13" t="str">
        <x:f>IF(A90="","",COUNTIFS('Attendees'!$B$6:$B$205,A90,'Attendees'!$F$6:$F$205,"Alcohol-inclusive",'Attendees'!$A$6:$A$205,"&lt;&gt;"))</x:f>
      </x:c>
      <x:c r="X90" s="9"/>
      <x:c r="Y90" s="13" t="str">
        <x:f>IF(A90="","",IF(COUNTIFS($A$6:$A$205,A90)&gt;1,"Duplicate booking ID",IF(OR(I90&lt;1,I90&gt;'Dashboard'!$E$10,G90&lt;0,H90&lt;0,G90&lt;&gt;INT(G90),H90&lt;&gt;INT(H90)),"Use 1–5 whole passes",IF(OR(C90="",E90="",F90=""),"Complete buyer name, phone and email",IF(NOT(ISNUMBER(M90)),"Set added charges (0 if none)",IF(AND(S90&lt;&gt;"",COUNTIFS($S$6:$S$205,S90)&gt;1),"Duplicate payment ID",IF(AND(O90="Confirmed",OR(P90&lt;&gt;N90,S90="")),"Verify full payment + payment ID",IF(OR(U90&lt;&gt;I90,V90&lt;&gt;G90,W90&lt;&gt;H90),"Complete matching attendee details",""))))))))</x:f>
      </x:c>
    </x:row>
    <x:row r="91" ht="22" customHeight="1">
      <x:c r="A91" s="9"/>
      <x:c r="B91" s="18"/>
      <x:c r="C91" s="9"/>
      <x:c r="D91" s="9"/>
      <x:c r="E91" s="19"/>
      <x:c r="F91" s="19"/>
      <x:c r="G91" s="9"/>
      <x:c r="H91" s="9"/>
      <x:c r="I91" s="13" t="str">
        <x:f>IF(A91="","",SUM(G91:H91))</x:f>
      </x:c>
      <x:c r="J91" s="20" t="n">
        <x:v>2999</x:v>
      </x:c>
      <x:c r="K91" s="20" t="n">
        <x:v>3999</x:v>
      </x:c>
      <x:c r="L91" s="14" t="str">
        <x:f>IF(A91="","",G91*J91+H91*K91)</x:f>
      </x:c>
      <x:c r="M91" s="20"/>
      <x:c r="N91" s="14" t="str">
        <x:f>IF(A91="","",IF(ISNUMBER(M91),ROUND(L91+M91,2),"Set added charges"))</x:f>
      </x:c>
      <x:c r="O91" s="9"/>
      <x:c r="P91" s="20"/>
      <x:c r="Q91" s="20"/>
      <x:c r="R91" s="19"/>
      <x:c r="S91" s="19"/>
      <x:c r="T91" s="14" t="str">
        <x:f>IF(A91="","",P91-Q91)</x:f>
      </x:c>
      <x:c r="U91" s="13" t="str">
        <x:f>IF(A91="","",COUNTIFS('Attendees'!$B$6:$B$205,A91,'Attendees'!$A$6:$A$205,"&lt;&gt;"))</x:f>
      </x:c>
      <x:c r="V91" s="13" t="str">
        <x:f>IF(A91="","",COUNTIFS('Attendees'!$B$6:$B$205,A91,'Attendees'!$F$6:$F$205,"Non-alcoholic",'Attendees'!$A$6:$A$205,"&lt;&gt;"))</x:f>
      </x:c>
      <x:c r="W91" s="13" t="str">
        <x:f>IF(A91="","",COUNTIFS('Attendees'!$B$6:$B$205,A91,'Attendees'!$F$6:$F$205,"Alcohol-inclusive",'Attendees'!$A$6:$A$205,"&lt;&gt;"))</x:f>
      </x:c>
      <x:c r="X91" s="9"/>
      <x:c r="Y91" s="13" t="str">
        <x:f>IF(A91="","",IF(COUNTIFS($A$6:$A$205,A91)&gt;1,"Duplicate booking ID",IF(OR(I91&lt;1,I91&gt;'Dashboard'!$E$10,G91&lt;0,H91&lt;0,G91&lt;&gt;INT(G91),H91&lt;&gt;INT(H91)),"Use 1–5 whole passes",IF(OR(C91="",E91="",F91=""),"Complete buyer name, phone and email",IF(NOT(ISNUMBER(M91)),"Set added charges (0 if none)",IF(AND(S91&lt;&gt;"",COUNTIFS($S$6:$S$205,S91)&gt;1),"Duplicate payment ID",IF(AND(O91="Confirmed",OR(P91&lt;&gt;N91,S91="")),"Verify full payment + payment ID",IF(OR(U91&lt;&gt;I91,V91&lt;&gt;G91,W91&lt;&gt;H91),"Complete matching attendee details",""))))))))</x:f>
      </x:c>
    </x:row>
    <x:row r="92" ht="22" customHeight="1">
      <x:c r="A92" s="9"/>
      <x:c r="B92" s="18"/>
      <x:c r="C92" s="9"/>
      <x:c r="D92" s="9"/>
      <x:c r="E92" s="19"/>
      <x:c r="F92" s="19"/>
      <x:c r="G92" s="9"/>
      <x:c r="H92" s="9"/>
      <x:c r="I92" s="13" t="str">
        <x:f>IF(A92="","",SUM(G92:H92))</x:f>
      </x:c>
      <x:c r="J92" s="20" t="n">
        <x:v>2999</x:v>
      </x:c>
      <x:c r="K92" s="20" t="n">
        <x:v>3999</x:v>
      </x:c>
      <x:c r="L92" s="14" t="str">
        <x:f>IF(A92="","",G92*J92+H92*K92)</x:f>
      </x:c>
      <x:c r="M92" s="20"/>
      <x:c r="N92" s="14" t="str">
        <x:f>IF(A92="","",IF(ISNUMBER(M92),ROUND(L92+M92,2),"Set added charges"))</x:f>
      </x:c>
      <x:c r="O92" s="9"/>
      <x:c r="P92" s="20"/>
      <x:c r="Q92" s="20"/>
      <x:c r="R92" s="19"/>
      <x:c r="S92" s="19"/>
      <x:c r="T92" s="14" t="str">
        <x:f>IF(A92="","",P92-Q92)</x:f>
      </x:c>
      <x:c r="U92" s="13" t="str">
        <x:f>IF(A92="","",COUNTIFS('Attendees'!$B$6:$B$205,A92,'Attendees'!$A$6:$A$205,"&lt;&gt;"))</x:f>
      </x:c>
      <x:c r="V92" s="13" t="str">
        <x:f>IF(A92="","",COUNTIFS('Attendees'!$B$6:$B$205,A92,'Attendees'!$F$6:$F$205,"Non-alcoholic",'Attendees'!$A$6:$A$205,"&lt;&gt;"))</x:f>
      </x:c>
      <x:c r="W92" s="13" t="str">
        <x:f>IF(A92="","",COUNTIFS('Attendees'!$B$6:$B$205,A92,'Attendees'!$F$6:$F$205,"Alcohol-inclusive",'Attendees'!$A$6:$A$205,"&lt;&gt;"))</x:f>
      </x:c>
      <x:c r="X92" s="9"/>
      <x:c r="Y92" s="13" t="str">
        <x:f>IF(A92="","",IF(COUNTIFS($A$6:$A$205,A92)&gt;1,"Duplicate booking ID",IF(OR(I92&lt;1,I92&gt;'Dashboard'!$E$10,G92&lt;0,H92&lt;0,G92&lt;&gt;INT(G92),H92&lt;&gt;INT(H92)),"Use 1–5 whole passes",IF(OR(C92="",E92="",F92=""),"Complete buyer name, phone and email",IF(NOT(ISNUMBER(M92)),"Set added charges (0 if none)",IF(AND(S92&lt;&gt;"",COUNTIFS($S$6:$S$205,S92)&gt;1),"Duplicate payment ID",IF(AND(O92="Confirmed",OR(P92&lt;&gt;N92,S92="")),"Verify full payment + payment ID",IF(OR(U92&lt;&gt;I92,V92&lt;&gt;G92,W92&lt;&gt;H92),"Complete matching attendee details",""))))))))</x:f>
      </x:c>
    </x:row>
    <x:row r="93" ht="22" customHeight="1">
      <x:c r="A93" s="9"/>
      <x:c r="B93" s="18"/>
      <x:c r="C93" s="9"/>
      <x:c r="D93" s="9"/>
      <x:c r="E93" s="19"/>
      <x:c r="F93" s="19"/>
      <x:c r="G93" s="9"/>
      <x:c r="H93" s="9"/>
      <x:c r="I93" s="13" t="str">
        <x:f>IF(A93="","",SUM(G93:H93))</x:f>
      </x:c>
      <x:c r="J93" s="20" t="n">
        <x:v>2999</x:v>
      </x:c>
      <x:c r="K93" s="20" t="n">
        <x:v>3999</x:v>
      </x:c>
      <x:c r="L93" s="14" t="str">
        <x:f>IF(A93="","",G93*J93+H93*K93)</x:f>
      </x:c>
      <x:c r="M93" s="20"/>
      <x:c r="N93" s="14" t="str">
        <x:f>IF(A93="","",IF(ISNUMBER(M93),ROUND(L93+M93,2),"Set added charges"))</x:f>
      </x:c>
      <x:c r="O93" s="9"/>
      <x:c r="P93" s="20"/>
      <x:c r="Q93" s="20"/>
      <x:c r="R93" s="19"/>
      <x:c r="S93" s="19"/>
      <x:c r="T93" s="14" t="str">
        <x:f>IF(A93="","",P93-Q93)</x:f>
      </x:c>
      <x:c r="U93" s="13" t="str">
        <x:f>IF(A93="","",COUNTIFS('Attendees'!$B$6:$B$205,A93,'Attendees'!$A$6:$A$205,"&lt;&gt;"))</x:f>
      </x:c>
      <x:c r="V93" s="13" t="str">
        <x:f>IF(A93="","",COUNTIFS('Attendees'!$B$6:$B$205,A93,'Attendees'!$F$6:$F$205,"Non-alcoholic",'Attendees'!$A$6:$A$205,"&lt;&gt;"))</x:f>
      </x:c>
      <x:c r="W93" s="13" t="str">
        <x:f>IF(A93="","",COUNTIFS('Attendees'!$B$6:$B$205,A93,'Attendees'!$F$6:$F$205,"Alcohol-inclusive",'Attendees'!$A$6:$A$205,"&lt;&gt;"))</x:f>
      </x:c>
      <x:c r="X93" s="9"/>
      <x:c r="Y93" s="13" t="str">
        <x:f>IF(A93="","",IF(COUNTIFS($A$6:$A$205,A93)&gt;1,"Duplicate booking ID",IF(OR(I93&lt;1,I93&gt;'Dashboard'!$E$10,G93&lt;0,H93&lt;0,G93&lt;&gt;INT(G93),H93&lt;&gt;INT(H93)),"Use 1–5 whole passes",IF(OR(C93="",E93="",F93=""),"Complete buyer name, phone and email",IF(NOT(ISNUMBER(M93)),"Set added charges (0 if none)",IF(AND(S93&lt;&gt;"",COUNTIFS($S$6:$S$205,S93)&gt;1),"Duplicate payment ID",IF(AND(O93="Confirmed",OR(P93&lt;&gt;N93,S93="")),"Verify full payment + payment ID",IF(OR(U93&lt;&gt;I93,V93&lt;&gt;G93,W93&lt;&gt;H93),"Complete matching attendee details",""))))))))</x:f>
      </x:c>
    </x:row>
    <x:row r="94" ht="22" customHeight="1">
      <x:c r="A94" s="9"/>
      <x:c r="B94" s="18"/>
      <x:c r="C94" s="9"/>
      <x:c r="D94" s="9"/>
      <x:c r="E94" s="19"/>
      <x:c r="F94" s="19"/>
      <x:c r="G94" s="9"/>
      <x:c r="H94" s="9"/>
      <x:c r="I94" s="13" t="str">
        <x:f>IF(A94="","",SUM(G94:H94))</x:f>
      </x:c>
      <x:c r="J94" s="20" t="n">
        <x:v>2999</x:v>
      </x:c>
      <x:c r="K94" s="20" t="n">
        <x:v>3999</x:v>
      </x:c>
      <x:c r="L94" s="14" t="str">
        <x:f>IF(A94="","",G94*J94+H94*K94)</x:f>
      </x:c>
      <x:c r="M94" s="20"/>
      <x:c r="N94" s="14" t="str">
        <x:f>IF(A94="","",IF(ISNUMBER(M94),ROUND(L94+M94,2),"Set added charges"))</x:f>
      </x:c>
      <x:c r="O94" s="9"/>
      <x:c r="P94" s="20"/>
      <x:c r="Q94" s="20"/>
      <x:c r="R94" s="19"/>
      <x:c r="S94" s="19"/>
      <x:c r="T94" s="14" t="str">
        <x:f>IF(A94="","",P94-Q94)</x:f>
      </x:c>
      <x:c r="U94" s="13" t="str">
        <x:f>IF(A94="","",COUNTIFS('Attendees'!$B$6:$B$205,A94,'Attendees'!$A$6:$A$205,"&lt;&gt;"))</x:f>
      </x:c>
      <x:c r="V94" s="13" t="str">
        <x:f>IF(A94="","",COUNTIFS('Attendees'!$B$6:$B$205,A94,'Attendees'!$F$6:$F$205,"Non-alcoholic",'Attendees'!$A$6:$A$205,"&lt;&gt;"))</x:f>
      </x:c>
      <x:c r="W94" s="13" t="str">
        <x:f>IF(A94="","",COUNTIFS('Attendees'!$B$6:$B$205,A94,'Attendees'!$F$6:$F$205,"Alcohol-inclusive",'Attendees'!$A$6:$A$205,"&lt;&gt;"))</x:f>
      </x:c>
      <x:c r="X94" s="9"/>
      <x:c r="Y94" s="13" t="str">
        <x:f>IF(A94="","",IF(COUNTIFS($A$6:$A$205,A94)&gt;1,"Duplicate booking ID",IF(OR(I94&lt;1,I94&gt;'Dashboard'!$E$10,G94&lt;0,H94&lt;0,G94&lt;&gt;INT(G94),H94&lt;&gt;INT(H94)),"Use 1–5 whole passes",IF(OR(C94="",E94="",F94=""),"Complete buyer name, phone and email",IF(NOT(ISNUMBER(M94)),"Set added charges (0 if none)",IF(AND(S94&lt;&gt;"",COUNTIFS($S$6:$S$205,S94)&gt;1),"Duplicate payment ID",IF(AND(O94="Confirmed",OR(P94&lt;&gt;N94,S94="")),"Verify full payment + payment ID",IF(OR(U94&lt;&gt;I94,V94&lt;&gt;G94,W94&lt;&gt;H94),"Complete matching attendee details",""))))))))</x:f>
      </x:c>
    </x:row>
    <x:row r="95" ht="22" customHeight="1">
      <x:c r="A95" s="9"/>
      <x:c r="B95" s="18"/>
      <x:c r="C95" s="9"/>
      <x:c r="D95" s="9"/>
      <x:c r="E95" s="19"/>
      <x:c r="F95" s="19"/>
      <x:c r="G95" s="9"/>
      <x:c r="H95" s="9"/>
      <x:c r="I95" s="13" t="str">
        <x:f>IF(A95="","",SUM(G95:H95))</x:f>
      </x:c>
      <x:c r="J95" s="20" t="n">
        <x:v>2999</x:v>
      </x:c>
      <x:c r="K95" s="20" t="n">
        <x:v>3999</x:v>
      </x:c>
      <x:c r="L95" s="14" t="str">
        <x:f>IF(A95="","",G95*J95+H95*K95)</x:f>
      </x:c>
      <x:c r="M95" s="20"/>
      <x:c r="N95" s="14" t="str">
        <x:f>IF(A95="","",IF(ISNUMBER(M95),ROUND(L95+M95,2),"Set added charges"))</x:f>
      </x:c>
      <x:c r="O95" s="9"/>
      <x:c r="P95" s="20"/>
      <x:c r="Q95" s="20"/>
      <x:c r="R95" s="19"/>
      <x:c r="S95" s="19"/>
      <x:c r="T95" s="14" t="str">
        <x:f>IF(A95="","",P95-Q95)</x:f>
      </x:c>
      <x:c r="U95" s="13" t="str">
        <x:f>IF(A95="","",COUNTIFS('Attendees'!$B$6:$B$205,A95,'Attendees'!$A$6:$A$205,"&lt;&gt;"))</x:f>
      </x:c>
      <x:c r="V95" s="13" t="str">
        <x:f>IF(A95="","",COUNTIFS('Attendees'!$B$6:$B$205,A95,'Attendees'!$F$6:$F$205,"Non-alcoholic",'Attendees'!$A$6:$A$205,"&lt;&gt;"))</x:f>
      </x:c>
      <x:c r="W95" s="13" t="str">
        <x:f>IF(A95="","",COUNTIFS('Attendees'!$B$6:$B$205,A95,'Attendees'!$F$6:$F$205,"Alcohol-inclusive",'Attendees'!$A$6:$A$205,"&lt;&gt;"))</x:f>
      </x:c>
      <x:c r="X95" s="9"/>
      <x:c r="Y95" s="13" t="str">
        <x:f>IF(A95="","",IF(COUNTIFS($A$6:$A$205,A95)&gt;1,"Duplicate booking ID",IF(OR(I95&lt;1,I95&gt;'Dashboard'!$E$10,G95&lt;0,H95&lt;0,G95&lt;&gt;INT(G95),H95&lt;&gt;INT(H95)),"Use 1–5 whole passes",IF(OR(C95="",E95="",F95=""),"Complete buyer name, phone and email",IF(NOT(ISNUMBER(M95)),"Set added charges (0 if none)",IF(AND(S95&lt;&gt;"",COUNTIFS($S$6:$S$205,S95)&gt;1),"Duplicate payment ID",IF(AND(O95="Confirmed",OR(P95&lt;&gt;N95,S95="")),"Verify full payment + payment ID",IF(OR(U95&lt;&gt;I95,V95&lt;&gt;G95,W95&lt;&gt;H95),"Complete matching attendee details",""))))))))</x:f>
      </x:c>
    </x:row>
    <x:row r="96" ht="22" customHeight="1">
      <x:c r="A96" s="9"/>
      <x:c r="B96" s="18"/>
      <x:c r="C96" s="9"/>
      <x:c r="D96" s="9"/>
      <x:c r="E96" s="19"/>
      <x:c r="F96" s="19"/>
      <x:c r="G96" s="9"/>
      <x:c r="H96" s="9"/>
      <x:c r="I96" s="13" t="str">
        <x:f>IF(A96="","",SUM(G96:H96))</x:f>
      </x:c>
      <x:c r="J96" s="20" t="n">
        <x:v>2999</x:v>
      </x:c>
      <x:c r="K96" s="20" t="n">
        <x:v>3999</x:v>
      </x:c>
      <x:c r="L96" s="14" t="str">
        <x:f>IF(A96="","",G96*J96+H96*K96)</x:f>
      </x:c>
      <x:c r="M96" s="20"/>
      <x:c r="N96" s="14" t="str">
        <x:f>IF(A96="","",IF(ISNUMBER(M96),ROUND(L96+M96,2),"Set added charges"))</x:f>
      </x:c>
      <x:c r="O96" s="9"/>
      <x:c r="P96" s="20"/>
      <x:c r="Q96" s="20"/>
      <x:c r="R96" s="19"/>
      <x:c r="S96" s="19"/>
      <x:c r="T96" s="14" t="str">
        <x:f>IF(A96="","",P96-Q96)</x:f>
      </x:c>
      <x:c r="U96" s="13" t="str">
        <x:f>IF(A96="","",COUNTIFS('Attendees'!$B$6:$B$205,A96,'Attendees'!$A$6:$A$205,"&lt;&gt;"))</x:f>
      </x:c>
      <x:c r="V96" s="13" t="str">
        <x:f>IF(A96="","",COUNTIFS('Attendees'!$B$6:$B$205,A96,'Attendees'!$F$6:$F$205,"Non-alcoholic",'Attendees'!$A$6:$A$205,"&lt;&gt;"))</x:f>
      </x:c>
      <x:c r="W96" s="13" t="str">
        <x:f>IF(A96="","",COUNTIFS('Attendees'!$B$6:$B$205,A96,'Attendees'!$F$6:$F$205,"Alcohol-inclusive",'Attendees'!$A$6:$A$205,"&lt;&gt;"))</x:f>
      </x:c>
      <x:c r="X96" s="9"/>
      <x:c r="Y96" s="13" t="str">
        <x:f>IF(A96="","",IF(COUNTIFS($A$6:$A$205,A96)&gt;1,"Duplicate booking ID",IF(OR(I96&lt;1,I96&gt;'Dashboard'!$E$10,G96&lt;0,H96&lt;0,G96&lt;&gt;INT(G96),H96&lt;&gt;INT(H96)),"Use 1–5 whole passes",IF(OR(C96="",E96="",F96=""),"Complete buyer name, phone and email",IF(NOT(ISNUMBER(M96)),"Set added charges (0 if none)",IF(AND(S96&lt;&gt;"",COUNTIFS($S$6:$S$205,S96)&gt;1),"Duplicate payment ID",IF(AND(O96="Confirmed",OR(P96&lt;&gt;N96,S96="")),"Verify full payment + payment ID",IF(OR(U96&lt;&gt;I96,V96&lt;&gt;G96,W96&lt;&gt;H96),"Complete matching attendee details",""))))))))</x:f>
      </x:c>
    </x:row>
    <x:row r="97" ht="22" customHeight="1">
      <x:c r="A97" s="9"/>
      <x:c r="B97" s="18"/>
      <x:c r="C97" s="9"/>
      <x:c r="D97" s="9"/>
      <x:c r="E97" s="19"/>
      <x:c r="F97" s="19"/>
      <x:c r="G97" s="9"/>
      <x:c r="H97" s="9"/>
      <x:c r="I97" s="13" t="str">
        <x:f>IF(A97="","",SUM(G97:H97))</x:f>
      </x:c>
      <x:c r="J97" s="20" t="n">
        <x:v>2999</x:v>
      </x:c>
      <x:c r="K97" s="20" t="n">
        <x:v>3999</x:v>
      </x:c>
      <x:c r="L97" s="14" t="str">
        <x:f>IF(A97="","",G97*J97+H97*K97)</x:f>
      </x:c>
      <x:c r="M97" s="20"/>
      <x:c r="N97" s="14" t="str">
        <x:f>IF(A97="","",IF(ISNUMBER(M97),ROUND(L97+M97,2),"Set added charges"))</x:f>
      </x:c>
      <x:c r="O97" s="9"/>
      <x:c r="P97" s="20"/>
      <x:c r="Q97" s="20"/>
      <x:c r="R97" s="19"/>
      <x:c r="S97" s="19"/>
      <x:c r="T97" s="14" t="str">
        <x:f>IF(A97="","",P97-Q97)</x:f>
      </x:c>
      <x:c r="U97" s="13" t="str">
        <x:f>IF(A97="","",COUNTIFS('Attendees'!$B$6:$B$205,A97,'Attendees'!$A$6:$A$205,"&lt;&gt;"))</x:f>
      </x:c>
      <x:c r="V97" s="13" t="str">
        <x:f>IF(A97="","",COUNTIFS('Attendees'!$B$6:$B$205,A97,'Attendees'!$F$6:$F$205,"Non-alcoholic",'Attendees'!$A$6:$A$205,"&lt;&gt;"))</x:f>
      </x:c>
      <x:c r="W97" s="13" t="str">
        <x:f>IF(A97="","",COUNTIFS('Attendees'!$B$6:$B$205,A97,'Attendees'!$F$6:$F$205,"Alcohol-inclusive",'Attendees'!$A$6:$A$205,"&lt;&gt;"))</x:f>
      </x:c>
      <x:c r="X97" s="9"/>
      <x:c r="Y97" s="13" t="str">
        <x:f>IF(A97="","",IF(COUNTIFS($A$6:$A$205,A97)&gt;1,"Duplicate booking ID",IF(OR(I97&lt;1,I97&gt;'Dashboard'!$E$10,G97&lt;0,H97&lt;0,G97&lt;&gt;INT(G97),H97&lt;&gt;INT(H97)),"Use 1–5 whole passes",IF(OR(C97="",E97="",F97=""),"Complete buyer name, phone and email",IF(NOT(ISNUMBER(M97)),"Set added charges (0 if none)",IF(AND(S97&lt;&gt;"",COUNTIFS($S$6:$S$205,S97)&gt;1),"Duplicate payment ID",IF(AND(O97="Confirmed",OR(P97&lt;&gt;N97,S97="")),"Verify full payment + payment ID",IF(OR(U97&lt;&gt;I97,V97&lt;&gt;G97,W97&lt;&gt;H97),"Complete matching attendee details",""))))))))</x:f>
      </x:c>
    </x:row>
    <x:row r="98" ht="22" customHeight="1">
      <x:c r="A98" s="9"/>
      <x:c r="B98" s="18"/>
      <x:c r="C98" s="9"/>
      <x:c r="D98" s="9"/>
      <x:c r="E98" s="19"/>
      <x:c r="F98" s="19"/>
      <x:c r="G98" s="9"/>
      <x:c r="H98" s="9"/>
      <x:c r="I98" s="13" t="str">
        <x:f>IF(A98="","",SUM(G98:H98))</x:f>
      </x:c>
      <x:c r="J98" s="20" t="n">
        <x:v>2999</x:v>
      </x:c>
      <x:c r="K98" s="20" t="n">
        <x:v>3999</x:v>
      </x:c>
      <x:c r="L98" s="14" t="str">
        <x:f>IF(A98="","",G98*J98+H98*K98)</x:f>
      </x:c>
      <x:c r="M98" s="20"/>
      <x:c r="N98" s="14" t="str">
        <x:f>IF(A98="","",IF(ISNUMBER(M98),ROUND(L98+M98,2),"Set added charges"))</x:f>
      </x:c>
      <x:c r="O98" s="9"/>
      <x:c r="P98" s="20"/>
      <x:c r="Q98" s="20"/>
      <x:c r="R98" s="19"/>
      <x:c r="S98" s="19"/>
      <x:c r="T98" s="14" t="str">
        <x:f>IF(A98="","",P98-Q98)</x:f>
      </x:c>
      <x:c r="U98" s="13" t="str">
        <x:f>IF(A98="","",COUNTIFS('Attendees'!$B$6:$B$205,A98,'Attendees'!$A$6:$A$205,"&lt;&gt;"))</x:f>
      </x:c>
      <x:c r="V98" s="13" t="str">
        <x:f>IF(A98="","",COUNTIFS('Attendees'!$B$6:$B$205,A98,'Attendees'!$F$6:$F$205,"Non-alcoholic",'Attendees'!$A$6:$A$205,"&lt;&gt;"))</x:f>
      </x:c>
      <x:c r="W98" s="13" t="str">
        <x:f>IF(A98="","",COUNTIFS('Attendees'!$B$6:$B$205,A98,'Attendees'!$F$6:$F$205,"Alcohol-inclusive",'Attendees'!$A$6:$A$205,"&lt;&gt;"))</x:f>
      </x:c>
      <x:c r="X98" s="9"/>
      <x:c r="Y98" s="13" t="str">
        <x:f>IF(A98="","",IF(COUNTIFS($A$6:$A$205,A98)&gt;1,"Duplicate booking ID",IF(OR(I98&lt;1,I98&gt;'Dashboard'!$E$10,G98&lt;0,H98&lt;0,G98&lt;&gt;INT(G98),H98&lt;&gt;INT(H98)),"Use 1–5 whole passes",IF(OR(C98="",E98="",F98=""),"Complete buyer name, phone and email",IF(NOT(ISNUMBER(M98)),"Set added charges (0 if none)",IF(AND(S98&lt;&gt;"",COUNTIFS($S$6:$S$205,S98)&gt;1),"Duplicate payment ID",IF(AND(O98="Confirmed",OR(P98&lt;&gt;N98,S98="")),"Verify full payment + payment ID",IF(OR(U98&lt;&gt;I98,V98&lt;&gt;G98,W98&lt;&gt;H98),"Complete matching attendee details",""))))))))</x:f>
      </x:c>
    </x:row>
    <x:row r="99" ht="22" customHeight="1">
      <x:c r="A99" s="9"/>
      <x:c r="B99" s="18"/>
      <x:c r="C99" s="9"/>
      <x:c r="D99" s="9"/>
      <x:c r="E99" s="19"/>
      <x:c r="F99" s="19"/>
      <x:c r="G99" s="9"/>
      <x:c r="H99" s="9"/>
      <x:c r="I99" s="13" t="str">
        <x:f>IF(A99="","",SUM(G99:H99))</x:f>
      </x:c>
      <x:c r="J99" s="20" t="n">
        <x:v>2999</x:v>
      </x:c>
      <x:c r="K99" s="20" t="n">
        <x:v>3999</x:v>
      </x:c>
      <x:c r="L99" s="14" t="str">
        <x:f>IF(A99="","",G99*J99+H99*K99)</x:f>
      </x:c>
      <x:c r="M99" s="20"/>
      <x:c r="N99" s="14" t="str">
        <x:f>IF(A99="","",IF(ISNUMBER(M99),ROUND(L99+M99,2),"Set added charges"))</x:f>
      </x:c>
      <x:c r="O99" s="9"/>
      <x:c r="P99" s="20"/>
      <x:c r="Q99" s="20"/>
      <x:c r="R99" s="19"/>
      <x:c r="S99" s="19"/>
      <x:c r="T99" s="14" t="str">
        <x:f>IF(A99="","",P99-Q99)</x:f>
      </x:c>
      <x:c r="U99" s="13" t="str">
        <x:f>IF(A99="","",COUNTIFS('Attendees'!$B$6:$B$205,A99,'Attendees'!$A$6:$A$205,"&lt;&gt;"))</x:f>
      </x:c>
      <x:c r="V99" s="13" t="str">
        <x:f>IF(A99="","",COUNTIFS('Attendees'!$B$6:$B$205,A99,'Attendees'!$F$6:$F$205,"Non-alcoholic",'Attendees'!$A$6:$A$205,"&lt;&gt;"))</x:f>
      </x:c>
      <x:c r="W99" s="13" t="str">
        <x:f>IF(A99="","",COUNTIFS('Attendees'!$B$6:$B$205,A99,'Attendees'!$F$6:$F$205,"Alcohol-inclusive",'Attendees'!$A$6:$A$205,"&lt;&gt;"))</x:f>
      </x:c>
      <x:c r="X99" s="9"/>
      <x:c r="Y99" s="13" t="str">
        <x:f>IF(A99="","",IF(COUNTIFS($A$6:$A$205,A99)&gt;1,"Duplicate booking ID",IF(OR(I99&lt;1,I99&gt;'Dashboard'!$E$10,G99&lt;0,H99&lt;0,G99&lt;&gt;INT(G99),H99&lt;&gt;INT(H99)),"Use 1–5 whole passes",IF(OR(C99="",E99="",F99=""),"Complete buyer name, phone and email",IF(NOT(ISNUMBER(M99)),"Set added charges (0 if none)",IF(AND(S99&lt;&gt;"",COUNTIFS($S$6:$S$205,S99)&gt;1),"Duplicate payment ID",IF(AND(O99="Confirmed",OR(P99&lt;&gt;N99,S99="")),"Verify full payment + payment ID",IF(OR(U99&lt;&gt;I99,V99&lt;&gt;G99,W99&lt;&gt;H99),"Complete matching attendee details",""))))))))</x:f>
      </x:c>
    </x:row>
    <x:row r="100" ht="22" customHeight="1">
      <x:c r="A100" s="9"/>
      <x:c r="B100" s="18"/>
      <x:c r="C100" s="9"/>
      <x:c r="D100" s="9"/>
      <x:c r="E100" s="19"/>
      <x:c r="F100" s="19"/>
      <x:c r="G100" s="9"/>
      <x:c r="H100" s="9"/>
      <x:c r="I100" s="13" t="str">
        <x:f>IF(A100="","",SUM(G100:H100))</x:f>
      </x:c>
      <x:c r="J100" s="20" t="n">
        <x:v>2999</x:v>
      </x:c>
      <x:c r="K100" s="20" t="n">
        <x:v>3999</x:v>
      </x:c>
      <x:c r="L100" s="14" t="str">
        <x:f>IF(A100="","",G100*J100+H100*K100)</x:f>
      </x:c>
      <x:c r="M100" s="20"/>
      <x:c r="N100" s="14" t="str">
        <x:f>IF(A100="","",IF(ISNUMBER(M100),ROUND(L100+M100,2),"Set added charges"))</x:f>
      </x:c>
      <x:c r="O100" s="9"/>
      <x:c r="P100" s="20"/>
      <x:c r="Q100" s="20"/>
      <x:c r="R100" s="19"/>
      <x:c r="S100" s="19"/>
      <x:c r="T100" s="14" t="str">
        <x:f>IF(A100="","",P100-Q100)</x:f>
      </x:c>
      <x:c r="U100" s="13" t="str">
        <x:f>IF(A100="","",COUNTIFS('Attendees'!$B$6:$B$205,A100,'Attendees'!$A$6:$A$205,"&lt;&gt;"))</x:f>
      </x:c>
      <x:c r="V100" s="13" t="str">
        <x:f>IF(A100="","",COUNTIFS('Attendees'!$B$6:$B$205,A100,'Attendees'!$F$6:$F$205,"Non-alcoholic",'Attendees'!$A$6:$A$205,"&lt;&gt;"))</x:f>
      </x:c>
      <x:c r="W100" s="13" t="str">
        <x:f>IF(A100="","",COUNTIFS('Attendees'!$B$6:$B$205,A100,'Attendees'!$F$6:$F$205,"Alcohol-inclusive",'Attendees'!$A$6:$A$205,"&lt;&gt;"))</x:f>
      </x:c>
      <x:c r="X100" s="9"/>
      <x:c r="Y100" s="13" t="str">
        <x:f>IF(A100="","",IF(COUNTIFS($A$6:$A$205,A100)&gt;1,"Duplicate booking ID",IF(OR(I100&lt;1,I100&gt;'Dashboard'!$E$10,G100&lt;0,H100&lt;0,G100&lt;&gt;INT(G100),H100&lt;&gt;INT(H100)),"Use 1–5 whole passes",IF(OR(C100="",E100="",F100=""),"Complete buyer name, phone and email",IF(NOT(ISNUMBER(M100)),"Set added charges (0 if none)",IF(AND(S100&lt;&gt;"",COUNTIFS($S$6:$S$205,S100)&gt;1),"Duplicate payment ID",IF(AND(O100="Confirmed",OR(P100&lt;&gt;N100,S100="")),"Verify full payment + payment ID",IF(OR(U100&lt;&gt;I100,V100&lt;&gt;G100,W100&lt;&gt;H100),"Complete matching attendee details",""))))))))</x:f>
      </x:c>
    </x:row>
    <x:row r="101" ht="22" customHeight="1">
      <x:c r="A101" s="9"/>
      <x:c r="B101" s="18"/>
      <x:c r="C101" s="9"/>
      <x:c r="D101" s="9"/>
      <x:c r="E101" s="19"/>
      <x:c r="F101" s="19"/>
      <x:c r="G101" s="9"/>
      <x:c r="H101" s="9"/>
      <x:c r="I101" s="13" t="str">
        <x:f>IF(A101="","",SUM(G101:H101))</x:f>
      </x:c>
      <x:c r="J101" s="20" t="n">
        <x:v>2999</x:v>
      </x:c>
      <x:c r="K101" s="20" t="n">
        <x:v>3999</x:v>
      </x:c>
      <x:c r="L101" s="14" t="str">
        <x:f>IF(A101="","",G101*J101+H101*K101)</x:f>
      </x:c>
      <x:c r="M101" s="20"/>
      <x:c r="N101" s="14" t="str">
        <x:f>IF(A101="","",IF(ISNUMBER(M101),ROUND(L101+M101,2),"Set added charges"))</x:f>
      </x:c>
      <x:c r="O101" s="9"/>
      <x:c r="P101" s="20"/>
      <x:c r="Q101" s="20"/>
      <x:c r="R101" s="19"/>
      <x:c r="S101" s="19"/>
      <x:c r="T101" s="14" t="str">
        <x:f>IF(A101="","",P101-Q101)</x:f>
      </x:c>
      <x:c r="U101" s="13" t="str">
        <x:f>IF(A101="","",COUNTIFS('Attendees'!$B$6:$B$205,A101,'Attendees'!$A$6:$A$205,"&lt;&gt;"))</x:f>
      </x:c>
      <x:c r="V101" s="13" t="str">
        <x:f>IF(A101="","",COUNTIFS('Attendees'!$B$6:$B$205,A101,'Attendees'!$F$6:$F$205,"Non-alcoholic",'Attendees'!$A$6:$A$205,"&lt;&gt;"))</x:f>
      </x:c>
      <x:c r="W101" s="13" t="str">
        <x:f>IF(A101="","",COUNTIFS('Attendees'!$B$6:$B$205,A101,'Attendees'!$F$6:$F$205,"Alcohol-inclusive",'Attendees'!$A$6:$A$205,"&lt;&gt;"))</x:f>
      </x:c>
      <x:c r="X101" s="9"/>
      <x:c r="Y101" s="13" t="str">
        <x:f>IF(A101="","",IF(COUNTIFS($A$6:$A$205,A101)&gt;1,"Duplicate booking ID",IF(OR(I101&lt;1,I101&gt;'Dashboard'!$E$10,G101&lt;0,H101&lt;0,G101&lt;&gt;INT(G101),H101&lt;&gt;INT(H101)),"Use 1–5 whole passes",IF(OR(C101="",E101="",F101=""),"Complete buyer name, phone and email",IF(NOT(ISNUMBER(M101)),"Set added charges (0 if none)",IF(AND(S101&lt;&gt;"",COUNTIFS($S$6:$S$205,S101)&gt;1),"Duplicate payment ID",IF(AND(O101="Confirmed",OR(P101&lt;&gt;N101,S101="")),"Verify full payment + payment ID",IF(OR(U101&lt;&gt;I101,V101&lt;&gt;G101,W101&lt;&gt;H101),"Complete matching attendee details",""))))))))</x:f>
      </x:c>
    </x:row>
    <x:row r="102" ht="22" customHeight="1">
      <x:c r="A102" s="9"/>
      <x:c r="B102" s="18"/>
      <x:c r="C102" s="9"/>
      <x:c r="D102" s="9"/>
      <x:c r="E102" s="19"/>
      <x:c r="F102" s="19"/>
      <x:c r="G102" s="9"/>
      <x:c r="H102" s="9"/>
      <x:c r="I102" s="13" t="str">
        <x:f>IF(A102="","",SUM(G102:H102))</x:f>
      </x:c>
      <x:c r="J102" s="20" t="n">
        <x:v>2999</x:v>
      </x:c>
      <x:c r="K102" s="20" t="n">
        <x:v>3999</x:v>
      </x:c>
      <x:c r="L102" s="14" t="str">
        <x:f>IF(A102="","",G102*J102+H102*K102)</x:f>
      </x:c>
      <x:c r="M102" s="20"/>
      <x:c r="N102" s="14" t="str">
        <x:f>IF(A102="","",IF(ISNUMBER(M102),ROUND(L102+M102,2),"Set added charges"))</x:f>
      </x:c>
      <x:c r="O102" s="9"/>
      <x:c r="P102" s="20"/>
      <x:c r="Q102" s="20"/>
      <x:c r="R102" s="19"/>
      <x:c r="S102" s="19"/>
      <x:c r="T102" s="14" t="str">
        <x:f>IF(A102="","",P102-Q102)</x:f>
      </x:c>
      <x:c r="U102" s="13" t="str">
        <x:f>IF(A102="","",COUNTIFS('Attendees'!$B$6:$B$205,A102,'Attendees'!$A$6:$A$205,"&lt;&gt;"))</x:f>
      </x:c>
      <x:c r="V102" s="13" t="str">
        <x:f>IF(A102="","",COUNTIFS('Attendees'!$B$6:$B$205,A102,'Attendees'!$F$6:$F$205,"Non-alcoholic",'Attendees'!$A$6:$A$205,"&lt;&gt;"))</x:f>
      </x:c>
      <x:c r="W102" s="13" t="str">
        <x:f>IF(A102="","",COUNTIFS('Attendees'!$B$6:$B$205,A102,'Attendees'!$F$6:$F$205,"Alcohol-inclusive",'Attendees'!$A$6:$A$205,"&lt;&gt;"))</x:f>
      </x:c>
      <x:c r="X102" s="9"/>
      <x:c r="Y102" s="13" t="str">
        <x:f>IF(A102="","",IF(COUNTIFS($A$6:$A$205,A102)&gt;1,"Duplicate booking ID",IF(OR(I102&lt;1,I102&gt;'Dashboard'!$E$10,G102&lt;0,H102&lt;0,G102&lt;&gt;INT(G102),H102&lt;&gt;INT(H102)),"Use 1–5 whole passes",IF(OR(C102="",E102="",F102=""),"Complete buyer name, phone and email",IF(NOT(ISNUMBER(M102)),"Set added charges (0 if none)",IF(AND(S102&lt;&gt;"",COUNTIFS($S$6:$S$205,S102)&gt;1),"Duplicate payment ID",IF(AND(O102="Confirmed",OR(P102&lt;&gt;N102,S102="")),"Verify full payment + payment ID",IF(OR(U102&lt;&gt;I102,V102&lt;&gt;G102,W102&lt;&gt;H102),"Complete matching attendee details",""))))))))</x:f>
      </x:c>
    </x:row>
    <x:row r="103" ht="22" customHeight="1">
      <x:c r="A103" s="9"/>
      <x:c r="B103" s="18"/>
      <x:c r="C103" s="9"/>
      <x:c r="D103" s="9"/>
      <x:c r="E103" s="19"/>
      <x:c r="F103" s="19"/>
      <x:c r="G103" s="9"/>
      <x:c r="H103" s="9"/>
      <x:c r="I103" s="13" t="str">
        <x:f>IF(A103="","",SUM(G103:H103))</x:f>
      </x:c>
      <x:c r="J103" s="20" t="n">
        <x:v>2999</x:v>
      </x:c>
      <x:c r="K103" s="20" t="n">
        <x:v>3999</x:v>
      </x:c>
      <x:c r="L103" s="14" t="str">
        <x:f>IF(A103="","",G103*J103+H103*K103)</x:f>
      </x:c>
      <x:c r="M103" s="20"/>
      <x:c r="N103" s="14" t="str">
        <x:f>IF(A103="","",IF(ISNUMBER(M103),ROUND(L103+M103,2),"Set added charges"))</x:f>
      </x:c>
      <x:c r="O103" s="9"/>
      <x:c r="P103" s="20"/>
      <x:c r="Q103" s="20"/>
      <x:c r="R103" s="19"/>
      <x:c r="S103" s="19"/>
      <x:c r="T103" s="14" t="str">
        <x:f>IF(A103="","",P103-Q103)</x:f>
      </x:c>
      <x:c r="U103" s="13" t="str">
        <x:f>IF(A103="","",COUNTIFS('Attendees'!$B$6:$B$205,A103,'Attendees'!$A$6:$A$205,"&lt;&gt;"))</x:f>
      </x:c>
      <x:c r="V103" s="13" t="str">
        <x:f>IF(A103="","",COUNTIFS('Attendees'!$B$6:$B$205,A103,'Attendees'!$F$6:$F$205,"Non-alcoholic",'Attendees'!$A$6:$A$205,"&lt;&gt;"))</x:f>
      </x:c>
      <x:c r="W103" s="13" t="str">
        <x:f>IF(A103="","",COUNTIFS('Attendees'!$B$6:$B$205,A103,'Attendees'!$F$6:$F$205,"Alcohol-inclusive",'Attendees'!$A$6:$A$205,"&lt;&gt;"))</x:f>
      </x:c>
      <x:c r="X103" s="9"/>
      <x:c r="Y103" s="13" t="str">
        <x:f>IF(A103="","",IF(COUNTIFS($A$6:$A$205,A103)&gt;1,"Duplicate booking ID",IF(OR(I103&lt;1,I103&gt;'Dashboard'!$E$10,G103&lt;0,H103&lt;0,G103&lt;&gt;INT(G103),H103&lt;&gt;INT(H103)),"Use 1–5 whole passes",IF(OR(C103="",E103="",F103=""),"Complete buyer name, phone and email",IF(NOT(ISNUMBER(M103)),"Set added charges (0 if none)",IF(AND(S103&lt;&gt;"",COUNTIFS($S$6:$S$205,S103)&gt;1),"Duplicate payment ID",IF(AND(O103="Confirmed",OR(P103&lt;&gt;N103,S103="")),"Verify full payment + payment ID",IF(OR(U103&lt;&gt;I103,V103&lt;&gt;G103,W103&lt;&gt;H103),"Complete matching attendee details",""))))))))</x:f>
      </x:c>
    </x:row>
    <x:row r="104" ht="22" customHeight="1">
      <x:c r="A104" s="9"/>
      <x:c r="B104" s="18"/>
      <x:c r="C104" s="9"/>
      <x:c r="D104" s="9"/>
      <x:c r="E104" s="19"/>
      <x:c r="F104" s="19"/>
      <x:c r="G104" s="9"/>
      <x:c r="H104" s="9"/>
      <x:c r="I104" s="13" t="str">
        <x:f>IF(A104="","",SUM(G104:H104))</x:f>
      </x:c>
      <x:c r="J104" s="20" t="n">
        <x:v>2999</x:v>
      </x:c>
      <x:c r="K104" s="20" t="n">
        <x:v>3999</x:v>
      </x:c>
      <x:c r="L104" s="14" t="str">
        <x:f>IF(A104="","",G104*J104+H104*K104)</x:f>
      </x:c>
      <x:c r="M104" s="20"/>
      <x:c r="N104" s="14" t="str">
        <x:f>IF(A104="","",IF(ISNUMBER(M104),ROUND(L104+M104,2),"Set added charges"))</x:f>
      </x:c>
      <x:c r="O104" s="9"/>
      <x:c r="P104" s="20"/>
      <x:c r="Q104" s="20"/>
      <x:c r="R104" s="19"/>
      <x:c r="S104" s="19"/>
      <x:c r="T104" s="14" t="str">
        <x:f>IF(A104="","",P104-Q104)</x:f>
      </x:c>
      <x:c r="U104" s="13" t="str">
        <x:f>IF(A104="","",COUNTIFS('Attendees'!$B$6:$B$205,A104,'Attendees'!$A$6:$A$205,"&lt;&gt;"))</x:f>
      </x:c>
      <x:c r="V104" s="13" t="str">
        <x:f>IF(A104="","",COUNTIFS('Attendees'!$B$6:$B$205,A104,'Attendees'!$F$6:$F$205,"Non-alcoholic",'Attendees'!$A$6:$A$205,"&lt;&gt;"))</x:f>
      </x:c>
      <x:c r="W104" s="13" t="str">
        <x:f>IF(A104="","",COUNTIFS('Attendees'!$B$6:$B$205,A104,'Attendees'!$F$6:$F$205,"Alcohol-inclusive",'Attendees'!$A$6:$A$205,"&lt;&gt;"))</x:f>
      </x:c>
      <x:c r="X104" s="9"/>
      <x:c r="Y104" s="13" t="str">
        <x:f>IF(A104="","",IF(COUNTIFS($A$6:$A$205,A104)&gt;1,"Duplicate booking ID",IF(OR(I104&lt;1,I104&gt;'Dashboard'!$E$10,G104&lt;0,H104&lt;0,G104&lt;&gt;INT(G104),H104&lt;&gt;INT(H104)),"Use 1–5 whole passes",IF(OR(C104="",E104="",F104=""),"Complete buyer name, phone and email",IF(NOT(ISNUMBER(M104)),"Set added charges (0 if none)",IF(AND(S104&lt;&gt;"",COUNTIFS($S$6:$S$205,S104)&gt;1),"Duplicate payment ID",IF(AND(O104="Confirmed",OR(P104&lt;&gt;N104,S104="")),"Verify full payment + payment ID",IF(OR(U104&lt;&gt;I104,V104&lt;&gt;G104,W104&lt;&gt;H104),"Complete matching attendee details",""))))))))</x:f>
      </x:c>
    </x:row>
    <x:row r="105" ht="22" customHeight="1">
      <x:c r="A105" s="9"/>
      <x:c r="B105" s="18"/>
      <x:c r="C105" s="9"/>
      <x:c r="D105" s="9"/>
      <x:c r="E105" s="19"/>
      <x:c r="F105" s="19"/>
      <x:c r="G105" s="9"/>
      <x:c r="H105" s="9"/>
      <x:c r="I105" s="13" t="str">
        <x:f>IF(A105="","",SUM(G105:H105))</x:f>
      </x:c>
      <x:c r="J105" s="20" t="n">
        <x:v>2999</x:v>
      </x:c>
      <x:c r="K105" s="20" t="n">
        <x:v>3999</x:v>
      </x:c>
      <x:c r="L105" s="14" t="str">
        <x:f>IF(A105="","",G105*J105+H105*K105)</x:f>
      </x:c>
      <x:c r="M105" s="20"/>
      <x:c r="N105" s="14" t="str">
        <x:f>IF(A105="","",IF(ISNUMBER(M105),ROUND(L105+M105,2),"Set added charges"))</x:f>
      </x:c>
      <x:c r="O105" s="9"/>
      <x:c r="P105" s="20"/>
      <x:c r="Q105" s="20"/>
      <x:c r="R105" s="19"/>
      <x:c r="S105" s="19"/>
      <x:c r="T105" s="14" t="str">
        <x:f>IF(A105="","",P105-Q105)</x:f>
      </x:c>
      <x:c r="U105" s="13" t="str">
        <x:f>IF(A105="","",COUNTIFS('Attendees'!$B$6:$B$205,A105,'Attendees'!$A$6:$A$205,"&lt;&gt;"))</x:f>
      </x:c>
      <x:c r="V105" s="13" t="str">
        <x:f>IF(A105="","",COUNTIFS('Attendees'!$B$6:$B$205,A105,'Attendees'!$F$6:$F$205,"Non-alcoholic",'Attendees'!$A$6:$A$205,"&lt;&gt;"))</x:f>
      </x:c>
      <x:c r="W105" s="13" t="str">
        <x:f>IF(A105="","",COUNTIFS('Attendees'!$B$6:$B$205,A105,'Attendees'!$F$6:$F$205,"Alcohol-inclusive",'Attendees'!$A$6:$A$205,"&lt;&gt;"))</x:f>
      </x:c>
      <x:c r="X105" s="9"/>
      <x:c r="Y105" s="13" t="str">
        <x:f>IF(A105="","",IF(COUNTIFS($A$6:$A$205,A105)&gt;1,"Duplicate booking ID",IF(OR(I105&lt;1,I105&gt;'Dashboard'!$E$10,G105&lt;0,H105&lt;0,G105&lt;&gt;INT(G105),H105&lt;&gt;INT(H105)),"Use 1–5 whole passes",IF(OR(C105="",E105="",F105=""),"Complete buyer name, phone and email",IF(NOT(ISNUMBER(M105)),"Set added charges (0 if none)",IF(AND(S105&lt;&gt;"",COUNTIFS($S$6:$S$205,S105)&gt;1),"Duplicate payment ID",IF(AND(O105="Confirmed",OR(P105&lt;&gt;N105,S105="")),"Verify full payment + payment ID",IF(OR(U105&lt;&gt;I105,V105&lt;&gt;G105,W105&lt;&gt;H105),"Complete matching attendee details",""))))))))</x:f>
      </x:c>
    </x:row>
    <x:row r="106" ht="22" customHeight="1">
      <x:c r="A106" s="9"/>
      <x:c r="B106" s="18"/>
      <x:c r="C106" s="9"/>
      <x:c r="D106" s="9"/>
      <x:c r="E106" s="19"/>
      <x:c r="F106" s="19"/>
      <x:c r="G106" s="9"/>
      <x:c r="H106" s="9"/>
      <x:c r="I106" s="13" t="str">
        <x:f>IF(A106="","",SUM(G106:H106))</x:f>
      </x:c>
      <x:c r="J106" s="20" t="n">
        <x:v>2999</x:v>
      </x:c>
      <x:c r="K106" s="20" t="n">
        <x:v>3999</x:v>
      </x:c>
      <x:c r="L106" s="14" t="str">
        <x:f>IF(A106="","",G106*J106+H106*K106)</x:f>
      </x:c>
      <x:c r="M106" s="20"/>
      <x:c r="N106" s="14" t="str">
        <x:f>IF(A106="","",IF(ISNUMBER(M106),ROUND(L106+M106,2),"Set added charges"))</x:f>
      </x:c>
      <x:c r="O106" s="9"/>
      <x:c r="P106" s="20"/>
      <x:c r="Q106" s="20"/>
      <x:c r="R106" s="19"/>
      <x:c r="S106" s="19"/>
      <x:c r="T106" s="14" t="str">
        <x:f>IF(A106="","",P106-Q106)</x:f>
      </x:c>
      <x:c r="U106" s="13" t="str">
        <x:f>IF(A106="","",COUNTIFS('Attendees'!$B$6:$B$205,A106,'Attendees'!$A$6:$A$205,"&lt;&gt;"))</x:f>
      </x:c>
      <x:c r="V106" s="13" t="str">
        <x:f>IF(A106="","",COUNTIFS('Attendees'!$B$6:$B$205,A106,'Attendees'!$F$6:$F$205,"Non-alcoholic",'Attendees'!$A$6:$A$205,"&lt;&gt;"))</x:f>
      </x:c>
      <x:c r="W106" s="13" t="str">
        <x:f>IF(A106="","",COUNTIFS('Attendees'!$B$6:$B$205,A106,'Attendees'!$F$6:$F$205,"Alcohol-inclusive",'Attendees'!$A$6:$A$205,"&lt;&gt;"))</x:f>
      </x:c>
      <x:c r="X106" s="9"/>
      <x:c r="Y106" s="13" t="str">
        <x:f>IF(A106="","",IF(COUNTIFS($A$6:$A$205,A106)&gt;1,"Duplicate booking ID",IF(OR(I106&lt;1,I106&gt;'Dashboard'!$E$10,G106&lt;0,H106&lt;0,G106&lt;&gt;INT(G106),H106&lt;&gt;INT(H106)),"Use 1–5 whole passes",IF(OR(C106="",E106="",F106=""),"Complete buyer name, phone and email",IF(NOT(ISNUMBER(M106)),"Set added charges (0 if none)",IF(AND(S106&lt;&gt;"",COUNTIFS($S$6:$S$205,S106)&gt;1),"Duplicate payment ID",IF(AND(O106="Confirmed",OR(P106&lt;&gt;N106,S106="")),"Verify full payment + payment ID",IF(OR(U106&lt;&gt;I106,V106&lt;&gt;G106,W106&lt;&gt;H106),"Complete matching attendee details",""))))))))</x:f>
      </x:c>
    </x:row>
    <x:row r="107" ht="22" customHeight="1">
      <x:c r="A107" s="9"/>
      <x:c r="B107" s="18"/>
      <x:c r="C107" s="9"/>
      <x:c r="D107" s="9"/>
      <x:c r="E107" s="19"/>
      <x:c r="F107" s="19"/>
      <x:c r="G107" s="9"/>
      <x:c r="H107" s="9"/>
      <x:c r="I107" s="13" t="str">
        <x:f>IF(A107="","",SUM(G107:H107))</x:f>
      </x:c>
      <x:c r="J107" s="20" t="n">
        <x:v>2999</x:v>
      </x:c>
      <x:c r="K107" s="20" t="n">
        <x:v>3999</x:v>
      </x:c>
      <x:c r="L107" s="14" t="str">
        <x:f>IF(A107="","",G107*J107+H107*K107)</x:f>
      </x:c>
      <x:c r="M107" s="20"/>
      <x:c r="N107" s="14" t="str">
        <x:f>IF(A107="","",IF(ISNUMBER(M107),ROUND(L107+M107,2),"Set added charges"))</x:f>
      </x:c>
      <x:c r="O107" s="9"/>
      <x:c r="P107" s="20"/>
      <x:c r="Q107" s="20"/>
      <x:c r="R107" s="19"/>
      <x:c r="S107" s="19"/>
      <x:c r="T107" s="14" t="str">
        <x:f>IF(A107="","",P107-Q107)</x:f>
      </x:c>
      <x:c r="U107" s="13" t="str">
        <x:f>IF(A107="","",COUNTIFS('Attendees'!$B$6:$B$205,A107,'Attendees'!$A$6:$A$205,"&lt;&gt;"))</x:f>
      </x:c>
      <x:c r="V107" s="13" t="str">
        <x:f>IF(A107="","",COUNTIFS('Attendees'!$B$6:$B$205,A107,'Attendees'!$F$6:$F$205,"Non-alcoholic",'Attendees'!$A$6:$A$205,"&lt;&gt;"))</x:f>
      </x:c>
      <x:c r="W107" s="13" t="str">
        <x:f>IF(A107="","",COUNTIFS('Attendees'!$B$6:$B$205,A107,'Attendees'!$F$6:$F$205,"Alcohol-inclusive",'Attendees'!$A$6:$A$205,"&lt;&gt;"))</x:f>
      </x:c>
      <x:c r="X107" s="9"/>
      <x:c r="Y107" s="13" t="str">
        <x:f>IF(A107="","",IF(COUNTIFS($A$6:$A$205,A107)&gt;1,"Duplicate booking ID",IF(OR(I107&lt;1,I107&gt;'Dashboard'!$E$10,G107&lt;0,H107&lt;0,G107&lt;&gt;INT(G107),H107&lt;&gt;INT(H107)),"Use 1–5 whole passes",IF(OR(C107="",E107="",F107=""),"Complete buyer name, phone and email",IF(NOT(ISNUMBER(M107)),"Set added charges (0 if none)",IF(AND(S107&lt;&gt;"",COUNTIFS($S$6:$S$205,S107)&gt;1),"Duplicate payment ID",IF(AND(O107="Confirmed",OR(P107&lt;&gt;N107,S107="")),"Verify full payment + payment ID",IF(OR(U107&lt;&gt;I107,V107&lt;&gt;G107,W107&lt;&gt;H107),"Complete matching attendee details",""))))))))</x:f>
      </x:c>
    </x:row>
    <x:row r="108" ht="22" customHeight="1">
      <x:c r="A108" s="9"/>
      <x:c r="B108" s="18"/>
      <x:c r="C108" s="9"/>
      <x:c r="D108" s="9"/>
      <x:c r="E108" s="19"/>
      <x:c r="F108" s="19"/>
      <x:c r="G108" s="9"/>
      <x:c r="H108" s="9"/>
      <x:c r="I108" s="13" t="str">
        <x:f>IF(A108="","",SUM(G108:H108))</x:f>
      </x:c>
      <x:c r="J108" s="20" t="n">
        <x:v>2999</x:v>
      </x:c>
      <x:c r="K108" s="20" t="n">
        <x:v>3999</x:v>
      </x:c>
      <x:c r="L108" s="14" t="str">
        <x:f>IF(A108="","",G108*J108+H108*K108)</x:f>
      </x:c>
      <x:c r="M108" s="20"/>
      <x:c r="N108" s="14" t="str">
        <x:f>IF(A108="","",IF(ISNUMBER(M108),ROUND(L108+M108,2),"Set added charges"))</x:f>
      </x:c>
      <x:c r="O108" s="9"/>
      <x:c r="P108" s="20"/>
      <x:c r="Q108" s="20"/>
      <x:c r="R108" s="19"/>
      <x:c r="S108" s="19"/>
      <x:c r="T108" s="14" t="str">
        <x:f>IF(A108="","",P108-Q108)</x:f>
      </x:c>
      <x:c r="U108" s="13" t="str">
        <x:f>IF(A108="","",COUNTIFS('Attendees'!$B$6:$B$205,A108,'Attendees'!$A$6:$A$205,"&lt;&gt;"))</x:f>
      </x:c>
      <x:c r="V108" s="13" t="str">
        <x:f>IF(A108="","",COUNTIFS('Attendees'!$B$6:$B$205,A108,'Attendees'!$F$6:$F$205,"Non-alcoholic",'Attendees'!$A$6:$A$205,"&lt;&gt;"))</x:f>
      </x:c>
      <x:c r="W108" s="13" t="str">
        <x:f>IF(A108="","",COUNTIFS('Attendees'!$B$6:$B$205,A108,'Attendees'!$F$6:$F$205,"Alcohol-inclusive",'Attendees'!$A$6:$A$205,"&lt;&gt;"))</x:f>
      </x:c>
      <x:c r="X108" s="9"/>
      <x:c r="Y108" s="13" t="str">
        <x:f>IF(A108="","",IF(COUNTIFS($A$6:$A$205,A108)&gt;1,"Duplicate booking ID",IF(OR(I108&lt;1,I108&gt;'Dashboard'!$E$10,G108&lt;0,H108&lt;0,G108&lt;&gt;INT(G108),H108&lt;&gt;INT(H108)),"Use 1–5 whole passes",IF(OR(C108="",E108="",F108=""),"Complete buyer name, phone and email",IF(NOT(ISNUMBER(M108)),"Set added charges (0 if none)",IF(AND(S108&lt;&gt;"",COUNTIFS($S$6:$S$205,S108)&gt;1),"Duplicate payment ID",IF(AND(O108="Confirmed",OR(P108&lt;&gt;N108,S108="")),"Verify full payment + payment ID",IF(OR(U108&lt;&gt;I108,V108&lt;&gt;G108,W108&lt;&gt;H108),"Complete matching attendee details",""))))))))</x:f>
      </x:c>
    </x:row>
    <x:row r="109" ht="22" customHeight="1">
      <x:c r="A109" s="9"/>
      <x:c r="B109" s="18"/>
      <x:c r="C109" s="9"/>
      <x:c r="D109" s="9"/>
      <x:c r="E109" s="19"/>
      <x:c r="F109" s="19"/>
      <x:c r="G109" s="9"/>
      <x:c r="H109" s="9"/>
      <x:c r="I109" s="13" t="str">
        <x:f>IF(A109="","",SUM(G109:H109))</x:f>
      </x:c>
      <x:c r="J109" s="20" t="n">
        <x:v>2999</x:v>
      </x:c>
      <x:c r="K109" s="20" t="n">
        <x:v>3999</x:v>
      </x:c>
      <x:c r="L109" s="14" t="str">
        <x:f>IF(A109="","",G109*J109+H109*K109)</x:f>
      </x:c>
      <x:c r="M109" s="20"/>
      <x:c r="N109" s="14" t="str">
        <x:f>IF(A109="","",IF(ISNUMBER(M109),ROUND(L109+M109,2),"Set added charges"))</x:f>
      </x:c>
      <x:c r="O109" s="9"/>
      <x:c r="P109" s="20"/>
      <x:c r="Q109" s="20"/>
      <x:c r="R109" s="19"/>
      <x:c r="S109" s="19"/>
      <x:c r="T109" s="14" t="str">
        <x:f>IF(A109="","",P109-Q109)</x:f>
      </x:c>
      <x:c r="U109" s="13" t="str">
        <x:f>IF(A109="","",COUNTIFS('Attendees'!$B$6:$B$205,A109,'Attendees'!$A$6:$A$205,"&lt;&gt;"))</x:f>
      </x:c>
      <x:c r="V109" s="13" t="str">
        <x:f>IF(A109="","",COUNTIFS('Attendees'!$B$6:$B$205,A109,'Attendees'!$F$6:$F$205,"Non-alcoholic",'Attendees'!$A$6:$A$205,"&lt;&gt;"))</x:f>
      </x:c>
      <x:c r="W109" s="13" t="str">
        <x:f>IF(A109="","",COUNTIFS('Attendees'!$B$6:$B$205,A109,'Attendees'!$F$6:$F$205,"Alcohol-inclusive",'Attendees'!$A$6:$A$205,"&lt;&gt;"))</x:f>
      </x:c>
      <x:c r="X109" s="9"/>
      <x:c r="Y109" s="13" t="str">
        <x:f>IF(A109="","",IF(COUNTIFS($A$6:$A$205,A109)&gt;1,"Duplicate booking ID",IF(OR(I109&lt;1,I109&gt;'Dashboard'!$E$10,G109&lt;0,H109&lt;0,G109&lt;&gt;INT(G109),H109&lt;&gt;INT(H109)),"Use 1–5 whole passes",IF(OR(C109="",E109="",F109=""),"Complete buyer name, phone and email",IF(NOT(ISNUMBER(M109)),"Set added charges (0 if none)",IF(AND(S109&lt;&gt;"",COUNTIFS($S$6:$S$205,S109)&gt;1),"Duplicate payment ID",IF(AND(O109="Confirmed",OR(P109&lt;&gt;N109,S109="")),"Verify full payment + payment ID",IF(OR(U109&lt;&gt;I109,V109&lt;&gt;G109,W109&lt;&gt;H109),"Complete matching attendee details",""))))))))</x:f>
      </x:c>
    </x:row>
    <x:row r="110" ht="22" customHeight="1">
      <x:c r="A110" s="9"/>
      <x:c r="B110" s="18"/>
      <x:c r="C110" s="9"/>
      <x:c r="D110" s="9"/>
      <x:c r="E110" s="19"/>
      <x:c r="F110" s="19"/>
      <x:c r="G110" s="9"/>
      <x:c r="H110" s="9"/>
      <x:c r="I110" s="13" t="str">
        <x:f>IF(A110="","",SUM(G110:H110))</x:f>
      </x:c>
      <x:c r="J110" s="20" t="n">
        <x:v>2999</x:v>
      </x:c>
      <x:c r="K110" s="20" t="n">
        <x:v>3999</x:v>
      </x:c>
      <x:c r="L110" s="14" t="str">
        <x:f>IF(A110="","",G110*J110+H110*K110)</x:f>
      </x:c>
      <x:c r="M110" s="20"/>
      <x:c r="N110" s="14" t="str">
        <x:f>IF(A110="","",IF(ISNUMBER(M110),ROUND(L110+M110,2),"Set added charges"))</x:f>
      </x:c>
      <x:c r="O110" s="9"/>
      <x:c r="P110" s="20"/>
      <x:c r="Q110" s="20"/>
      <x:c r="R110" s="19"/>
      <x:c r="S110" s="19"/>
      <x:c r="T110" s="14" t="str">
        <x:f>IF(A110="","",P110-Q110)</x:f>
      </x:c>
      <x:c r="U110" s="13" t="str">
        <x:f>IF(A110="","",COUNTIFS('Attendees'!$B$6:$B$205,A110,'Attendees'!$A$6:$A$205,"&lt;&gt;"))</x:f>
      </x:c>
      <x:c r="V110" s="13" t="str">
        <x:f>IF(A110="","",COUNTIFS('Attendees'!$B$6:$B$205,A110,'Attendees'!$F$6:$F$205,"Non-alcoholic",'Attendees'!$A$6:$A$205,"&lt;&gt;"))</x:f>
      </x:c>
      <x:c r="W110" s="13" t="str">
        <x:f>IF(A110="","",COUNTIFS('Attendees'!$B$6:$B$205,A110,'Attendees'!$F$6:$F$205,"Alcohol-inclusive",'Attendees'!$A$6:$A$205,"&lt;&gt;"))</x:f>
      </x:c>
      <x:c r="X110" s="9"/>
      <x:c r="Y110" s="13" t="str">
        <x:f>IF(A110="","",IF(COUNTIFS($A$6:$A$205,A110)&gt;1,"Duplicate booking ID",IF(OR(I110&lt;1,I110&gt;'Dashboard'!$E$10,G110&lt;0,H110&lt;0,G110&lt;&gt;INT(G110),H110&lt;&gt;INT(H110)),"Use 1–5 whole passes",IF(OR(C110="",E110="",F110=""),"Complete buyer name, phone and email",IF(NOT(ISNUMBER(M110)),"Set added charges (0 if none)",IF(AND(S110&lt;&gt;"",COUNTIFS($S$6:$S$205,S110)&gt;1),"Duplicate payment ID",IF(AND(O110="Confirmed",OR(P110&lt;&gt;N110,S110="")),"Verify full payment + payment ID",IF(OR(U110&lt;&gt;I110,V110&lt;&gt;G110,W110&lt;&gt;H110),"Complete matching attendee details",""))))))))</x:f>
      </x:c>
    </x:row>
    <x:row r="111" ht="22" customHeight="1">
      <x:c r="A111" s="9"/>
      <x:c r="B111" s="18"/>
      <x:c r="C111" s="9"/>
      <x:c r="D111" s="9"/>
      <x:c r="E111" s="19"/>
      <x:c r="F111" s="19"/>
      <x:c r="G111" s="9"/>
      <x:c r="H111" s="9"/>
      <x:c r="I111" s="13" t="str">
        <x:f>IF(A111="","",SUM(G111:H111))</x:f>
      </x:c>
      <x:c r="J111" s="20" t="n">
        <x:v>2999</x:v>
      </x:c>
      <x:c r="K111" s="20" t="n">
        <x:v>3999</x:v>
      </x:c>
      <x:c r="L111" s="14" t="str">
        <x:f>IF(A111="","",G111*J111+H111*K111)</x:f>
      </x:c>
      <x:c r="M111" s="20"/>
      <x:c r="N111" s="14" t="str">
        <x:f>IF(A111="","",IF(ISNUMBER(M111),ROUND(L111+M111,2),"Set added charges"))</x:f>
      </x:c>
      <x:c r="O111" s="9"/>
      <x:c r="P111" s="20"/>
      <x:c r="Q111" s="20"/>
      <x:c r="R111" s="19"/>
      <x:c r="S111" s="19"/>
      <x:c r="T111" s="14" t="str">
        <x:f>IF(A111="","",P111-Q111)</x:f>
      </x:c>
      <x:c r="U111" s="13" t="str">
        <x:f>IF(A111="","",COUNTIFS('Attendees'!$B$6:$B$205,A111,'Attendees'!$A$6:$A$205,"&lt;&gt;"))</x:f>
      </x:c>
      <x:c r="V111" s="13" t="str">
        <x:f>IF(A111="","",COUNTIFS('Attendees'!$B$6:$B$205,A111,'Attendees'!$F$6:$F$205,"Non-alcoholic",'Attendees'!$A$6:$A$205,"&lt;&gt;"))</x:f>
      </x:c>
      <x:c r="W111" s="13" t="str">
        <x:f>IF(A111="","",COUNTIFS('Attendees'!$B$6:$B$205,A111,'Attendees'!$F$6:$F$205,"Alcohol-inclusive",'Attendees'!$A$6:$A$205,"&lt;&gt;"))</x:f>
      </x:c>
      <x:c r="X111" s="9"/>
      <x:c r="Y111" s="13" t="str">
        <x:f>IF(A111="","",IF(COUNTIFS($A$6:$A$205,A111)&gt;1,"Duplicate booking ID",IF(OR(I111&lt;1,I111&gt;'Dashboard'!$E$10,G111&lt;0,H111&lt;0,G111&lt;&gt;INT(G111),H111&lt;&gt;INT(H111)),"Use 1–5 whole passes",IF(OR(C111="",E111="",F111=""),"Complete buyer name, phone and email",IF(NOT(ISNUMBER(M111)),"Set added charges (0 if none)",IF(AND(S111&lt;&gt;"",COUNTIFS($S$6:$S$205,S111)&gt;1),"Duplicate payment ID",IF(AND(O111="Confirmed",OR(P111&lt;&gt;N111,S111="")),"Verify full payment + payment ID",IF(OR(U111&lt;&gt;I111,V111&lt;&gt;G111,W111&lt;&gt;H111),"Complete matching attendee details",""))))))))</x:f>
      </x:c>
    </x:row>
    <x:row r="112" ht="22" customHeight="1">
      <x:c r="A112" s="9"/>
      <x:c r="B112" s="18"/>
      <x:c r="C112" s="9"/>
      <x:c r="D112" s="9"/>
      <x:c r="E112" s="19"/>
      <x:c r="F112" s="19"/>
      <x:c r="G112" s="9"/>
      <x:c r="H112" s="9"/>
      <x:c r="I112" s="13" t="str">
        <x:f>IF(A112="","",SUM(G112:H112))</x:f>
      </x:c>
      <x:c r="J112" s="20" t="n">
        <x:v>2999</x:v>
      </x:c>
      <x:c r="K112" s="20" t="n">
        <x:v>3999</x:v>
      </x:c>
      <x:c r="L112" s="14" t="str">
        <x:f>IF(A112="","",G112*J112+H112*K112)</x:f>
      </x:c>
      <x:c r="M112" s="20"/>
      <x:c r="N112" s="14" t="str">
        <x:f>IF(A112="","",IF(ISNUMBER(M112),ROUND(L112+M112,2),"Set added charges"))</x:f>
      </x:c>
      <x:c r="O112" s="9"/>
      <x:c r="P112" s="20"/>
      <x:c r="Q112" s="20"/>
      <x:c r="R112" s="19"/>
      <x:c r="S112" s="19"/>
      <x:c r="T112" s="14" t="str">
        <x:f>IF(A112="","",P112-Q112)</x:f>
      </x:c>
      <x:c r="U112" s="13" t="str">
        <x:f>IF(A112="","",COUNTIFS('Attendees'!$B$6:$B$205,A112,'Attendees'!$A$6:$A$205,"&lt;&gt;"))</x:f>
      </x:c>
      <x:c r="V112" s="13" t="str">
        <x:f>IF(A112="","",COUNTIFS('Attendees'!$B$6:$B$205,A112,'Attendees'!$F$6:$F$205,"Non-alcoholic",'Attendees'!$A$6:$A$205,"&lt;&gt;"))</x:f>
      </x:c>
      <x:c r="W112" s="13" t="str">
        <x:f>IF(A112="","",COUNTIFS('Attendees'!$B$6:$B$205,A112,'Attendees'!$F$6:$F$205,"Alcohol-inclusive",'Attendees'!$A$6:$A$205,"&lt;&gt;"))</x:f>
      </x:c>
      <x:c r="X112" s="9"/>
      <x:c r="Y112" s="13" t="str">
        <x:f>IF(A112="","",IF(COUNTIFS($A$6:$A$205,A112)&gt;1,"Duplicate booking ID",IF(OR(I112&lt;1,I112&gt;'Dashboard'!$E$10,G112&lt;0,H112&lt;0,G112&lt;&gt;INT(G112),H112&lt;&gt;INT(H112)),"Use 1–5 whole passes",IF(OR(C112="",E112="",F112=""),"Complete buyer name, phone and email",IF(NOT(ISNUMBER(M112)),"Set added charges (0 if none)",IF(AND(S112&lt;&gt;"",COUNTIFS($S$6:$S$205,S112)&gt;1),"Duplicate payment ID",IF(AND(O112="Confirmed",OR(P112&lt;&gt;N112,S112="")),"Verify full payment + payment ID",IF(OR(U112&lt;&gt;I112,V112&lt;&gt;G112,W112&lt;&gt;H112),"Complete matching attendee details",""))))))))</x:f>
      </x:c>
    </x:row>
    <x:row r="113" ht="22" customHeight="1">
      <x:c r="A113" s="9"/>
      <x:c r="B113" s="18"/>
      <x:c r="C113" s="9"/>
      <x:c r="D113" s="9"/>
      <x:c r="E113" s="19"/>
      <x:c r="F113" s="19"/>
      <x:c r="G113" s="9"/>
      <x:c r="H113" s="9"/>
      <x:c r="I113" s="13" t="str">
        <x:f>IF(A113="","",SUM(G113:H113))</x:f>
      </x:c>
      <x:c r="J113" s="20" t="n">
        <x:v>2999</x:v>
      </x:c>
      <x:c r="K113" s="20" t="n">
        <x:v>3999</x:v>
      </x:c>
      <x:c r="L113" s="14" t="str">
        <x:f>IF(A113="","",G113*J113+H113*K113)</x:f>
      </x:c>
      <x:c r="M113" s="20"/>
      <x:c r="N113" s="14" t="str">
        <x:f>IF(A113="","",IF(ISNUMBER(M113),ROUND(L113+M113,2),"Set added charges"))</x:f>
      </x:c>
      <x:c r="O113" s="9"/>
      <x:c r="P113" s="20"/>
      <x:c r="Q113" s="20"/>
      <x:c r="R113" s="19"/>
      <x:c r="S113" s="19"/>
      <x:c r="T113" s="14" t="str">
        <x:f>IF(A113="","",P113-Q113)</x:f>
      </x:c>
      <x:c r="U113" s="13" t="str">
        <x:f>IF(A113="","",COUNTIFS('Attendees'!$B$6:$B$205,A113,'Attendees'!$A$6:$A$205,"&lt;&gt;"))</x:f>
      </x:c>
      <x:c r="V113" s="13" t="str">
        <x:f>IF(A113="","",COUNTIFS('Attendees'!$B$6:$B$205,A113,'Attendees'!$F$6:$F$205,"Non-alcoholic",'Attendees'!$A$6:$A$205,"&lt;&gt;"))</x:f>
      </x:c>
      <x:c r="W113" s="13" t="str">
        <x:f>IF(A113="","",COUNTIFS('Attendees'!$B$6:$B$205,A113,'Attendees'!$F$6:$F$205,"Alcohol-inclusive",'Attendees'!$A$6:$A$205,"&lt;&gt;"))</x:f>
      </x:c>
      <x:c r="X113" s="9"/>
      <x:c r="Y113" s="13" t="str">
        <x:f>IF(A113="","",IF(COUNTIFS($A$6:$A$205,A113)&gt;1,"Duplicate booking ID",IF(OR(I113&lt;1,I113&gt;'Dashboard'!$E$10,G113&lt;0,H113&lt;0,G113&lt;&gt;INT(G113),H113&lt;&gt;INT(H113)),"Use 1–5 whole passes",IF(OR(C113="",E113="",F113=""),"Complete buyer name, phone and email",IF(NOT(ISNUMBER(M113)),"Set added charges (0 if none)",IF(AND(S113&lt;&gt;"",COUNTIFS($S$6:$S$205,S113)&gt;1),"Duplicate payment ID",IF(AND(O113="Confirmed",OR(P113&lt;&gt;N113,S113="")),"Verify full payment + payment ID",IF(OR(U113&lt;&gt;I113,V113&lt;&gt;G113,W113&lt;&gt;H113),"Complete matching attendee details",""))))))))</x:f>
      </x:c>
    </x:row>
    <x:row r="114" ht="22" customHeight="1">
      <x:c r="A114" s="9"/>
      <x:c r="B114" s="18"/>
      <x:c r="C114" s="9"/>
      <x:c r="D114" s="9"/>
      <x:c r="E114" s="19"/>
      <x:c r="F114" s="19"/>
      <x:c r="G114" s="9"/>
      <x:c r="H114" s="9"/>
      <x:c r="I114" s="13" t="str">
        <x:f>IF(A114="","",SUM(G114:H114))</x:f>
      </x:c>
      <x:c r="J114" s="20" t="n">
        <x:v>2999</x:v>
      </x:c>
      <x:c r="K114" s="20" t="n">
        <x:v>3999</x:v>
      </x:c>
      <x:c r="L114" s="14" t="str">
        <x:f>IF(A114="","",G114*J114+H114*K114)</x:f>
      </x:c>
      <x:c r="M114" s="20"/>
      <x:c r="N114" s="14" t="str">
        <x:f>IF(A114="","",IF(ISNUMBER(M114),ROUND(L114+M114,2),"Set added charges"))</x:f>
      </x:c>
      <x:c r="O114" s="9"/>
      <x:c r="P114" s="20"/>
      <x:c r="Q114" s="20"/>
      <x:c r="R114" s="19"/>
      <x:c r="S114" s="19"/>
      <x:c r="T114" s="14" t="str">
        <x:f>IF(A114="","",P114-Q114)</x:f>
      </x:c>
      <x:c r="U114" s="13" t="str">
        <x:f>IF(A114="","",COUNTIFS('Attendees'!$B$6:$B$205,A114,'Attendees'!$A$6:$A$205,"&lt;&gt;"))</x:f>
      </x:c>
      <x:c r="V114" s="13" t="str">
        <x:f>IF(A114="","",COUNTIFS('Attendees'!$B$6:$B$205,A114,'Attendees'!$F$6:$F$205,"Non-alcoholic",'Attendees'!$A$6:$A$205,"&lt;&gt;"))</x:f>
      </x:c>
      <x:c r="W114" s="13" t="str">
        <x:f>IF(A114="","",COUNTIFS('Attendees'!$B$6:$B$205,A114,'Attendees'!$F$6:$F$205,"Alcohol-inclusive",'Attendees'!$A$6:$A$205,"&lt;&gt;"))</x:f>
      </x:c>
      <x:c r="X114" s="9"/>
      <x:c r="Y114" s="13" t="str">
        <x:f>IF(A114="","",IF(COUNTIFS($A$6:$A$205,A114)&gt;1,"Duplicate booking ID",IF(OR(I114&lt;1,I114&gt;'Dashboard'!$E$10,G114&lt;0,H114&lt;0,G114&lt;&gt;INT(G114),H114&lt;&gt;INT(H114)),"Use 1–5 whole passes",IF(OR(C114="",E114="",F114=""),"Complete buyer name, phone and email",IF(NOT(ISNUMBER(M114)),"Set added charges (0 if none)",IF(AND(S114&lt;&gt;"",COUNTIFS($S$6:$S$205,S114)&gt;1),"Duplicate payment ID",IF(AND(O114="Confirmed",OR(P114&lt;&gt;N114,S114="")),"Verify full payment + payment ID",IF(OR(U114&lt;&gt;I114,V114&lt;&gt;G114,W114&lt;&gt;H114),"Complete matching attendee details",""))))))))</x:f>
      </x:c>
    </x:row>
    <x:row r="115" ht="22" customHeight="1">
      <x:c r="A115" s="9"/>
      <x:c r="B115" s="18"/>
      <x:c r="C115" s="9"/>
      <x:c r="D115" s="9"/>
      <x:c r="E115" s="19"/>
      <x:c r="F115" s="19"/>
      <x:c r="G115" s="9"/>
      <x:c r="H115" s="9"/>
      <x:c r="I115" s="13" t="str">
        <x:f>IF(A115="","",SUM(G115:H115))</x:f>
      </x:c>
      <x:c r="J115" s="20" t="n">
        <x:v>2999</x:v>
      </x:c>
      <x:c r="K115" s="20" t="n">
        <x:v>3999</x:v>
      </x:c>
      <x:c r="L115" s="14" t="str">
        <x:f>IF(A115="","",G115*J115+H115*K115)</x:f>
      </x:c>
      <x:c r="M115" s="20"/>
      <x:c r="N115" s="14" t="str">
        <x:f>IF(A115="","",IF(ISNUMBER(M115),ROUND(L115+M115,2),"Set added charges"))</x:f>
      </x:c>
      <x:c r="O115" s="9"/>
      <x:c r="P115" s="20"/>
      <x:c r="Q115" s="20"/>
      <x:c r="R115" s="19"/>
      <x:c r="S115" s="19"/>
      <x:c r="T115" s="14" t="str">
        <x:f>IF(A115="","",P115-Q115)</x:f>
      </x:c>
      <x:c r="U115" s="13" t="str">
        <x:f>IF(A115="","",COUNTIFS('Attendees'!$B$6:$B$205,A115,'Attendees'!$A$6:$A$205,"&lt;&gt;"))</x:f>
      </x:c>
      <x:c r="V115" s="13" t="str">
        <x:f>IF(A115="","",COUNTIFS('Attendees'!$B$6:$B$205,A115,'Attendees'!$F$6:$F$205,"Non-alcoholic",'Attendees'!$A$6:$A$205,"&lt;&gt;"))</x:f>
      </x:c>
      <x:c r="W115" s="13" t="str">
        <x:f>IF(A115="","",COUNTIFS('Attendees'!$B$6:$B$205,A115,'Attendees'!$F$6:$F$205,"Alcohol-inclusive",'Attendees'!$A$6:$A$205,"&lt;&gt;"))</x:f>
      </x:c>
      <x:c r="X115" s="9"/>
      <x:c r="Y115" s="13" t="str">
        <x:f>IF(A115="","",IF(COUNTIFS($A$6:$A$205,A115)&gt;1,"Duplicate booking ID",IF(OR(I115&lt;1,I115&gt;'Dashboard'!$E$10,G115&lt;0,H115&lt;0,G115&lt;&gt;INT(G115),H115&lt;&gt;INT(H115)),"Use 1–5 whole passes",IF(OR(C115="",E115="",F115=""),"Complete buyer name, phone and email",IF(NOT(ISNUMBER(M115)),"Set added charges (0 if none)",IF(AND(S115&lt;&gt;"",COUNTIFS($S$6:$S$205,S115)&gt;1),"Duplicate payment ID",IF(AND(O115="Confirmed",OR(P115&lt;&gt;N115,S115="")),"Verify full payment + payment ID",IF(OR(U115&lt;&gt;I115,V115&lt;&gt;G115,W115&lt;&gt;H115),"Complete matching attendee details",""))))))))</x:f>
      </x:c>
    </x:row>
    <x:row r="116" ht="22" customHeight="1">
      <x:c r="A116" s="9"/>
      <x:c r="B116" s="18"/>
      <x:c r="C116" s="9"/>
      <x:c r="D116" s="9"/>
      <x:c r="E116" s="19"/>
      <x:c r="F116" s="19"/>
      <x:c r="G116" s="9"/>
      <x:c r="H116" s="9"/>
      <x:c r="I116" s="13" t="str">
        <x:f>IF(A116="","",SUM(G116:H116))</x:f>
      </x:c>
      <x:c r="J116" s="20" t="n">
        <x:v>2999</x:v>
      </x:c>
      <x:c r="K116" s="20" t="n">
        <x:v>3999</x:v>
      </x:c>
      <x:c r="L116" s="14" t="str">
        <x:f>IF(A116="","",G116*J116+H116*K116)</x:f>
      </x:c>
      <x:c r="M116" s="20"/>
      <x:c r="N116" s="14" t="str">
        <x:f>IF(A116="","",IF(ISNUMBER(M116),ROUND(L116+M116,2),"Set added charges"))</x:f>
      </x:c>
      <x:c r="O116" s="9"/>
      <x:c r="P116" s="20"/>
      <x:c r="Q116" s="20"/>
      <x:c r="R116" s="19"/>
      <x:c r="S116" s="19"/>
      <x:c r="T116" s="14" t="str">
        <x:f>IF(A116="","",P116-Q116)</x:f>
      </x:c>
      <x:c r="U116" s="13" t="str">
        <x:f>IF(A116="","",COUNTIFS('Attendees'!$B$6:$B$205,A116,'Attendees'!$A$6:$A$205,"&lt;&gt;"))</x:f>
      </x:c>
      <x:c r="V116" s="13" t="str">
        <x:f>IF(A116="","",COUNTIFS('Attendees'!$B$6:$B$205,A116,'Attendees'!$F$6:$F$205,"Non-alcoholic",'Attendees'!$A$6:$A$205,"&lt;&gt;"))</x:f>
      </x:c>
      <x:c r="W116" s="13" t="str">
        <x:f>IF(A116="","",COUNTIFS('Attendees'!$B$6:$B$205,A116,'Attendees'!$F$6:$F$205,"Alcohol-inclusive",'Attendees'!$A$6:$A$205,"&lt;&gt;"))</x:f>
      </x:c>
      <x:c r="X116" s="9"/>
      <x:c r="Y116" s="13" t="str">
        <x:f>IF(A116="","",IF(COUNTIFS($A$6:$A$205,A116)&gt;1,"Duplicate booking ID",IF(OR(I116&lt;1,I116&gt;'Dashboard'!$E$10,G116&lt;0,H116&lt;0,G116&lt;&gt;INT(G116),H116&lt;&gt;INT(H116)),"Use 1–5 whole passes",IF(OR(C116="",E116="",F116=""),"Complete buyer name, phone and email",IF(NOT(ISNUMBER(M116)),"Set added charges (0 if none)",IF(AND(S116&lt;&gt;"",COUNTIFS($S$6:$S$205,S116)&gt;1),"Duplicate payment ID",IF(AND(O116="Confirmed",OR(P116&lt;&gt;N116,S116="")),"Verify full payment + payment ID",IF(OR(U116&lt;&gt;I116,V116&lt;&gt;G116,W116&lt;&gt;H116),"Complete matching attendee details",""))))))))</x:f>
      </x:c>
    </x:row>
    <x:row r="117" ht="22" customHeight="1">
      <x:c r="A117" s="9"/>
      <x:c r="B117" s="18"/>
      <x:c r="C117" s="9"/>
      <x:c r="D117" s="9"/>
      <x:c r="E117" s="19"/>
      <x:c r="F117" s="19"/>
      <x:c r="G117" s="9"/>
      <x:c r="H117" s="9"/>
      <x:c r="I117" s="13" t="str">
        <x:f>IF(A117="","",SUM(G117:H117))</x:f>
      </x:c>
      <x:c r="J117" s="20" t="n">
        <x:v>2999</x:v>
      </x:c>
      <x:c r="K117" s="20" t="n">
        <x:v>3999</x:v>
      </x:c>
      <x:c r="L117" s="14" t="str">
        <x:f>IF(A117="","",G117*J117+H117*K117)</x:f>
      </x:c>
      <x:c r="M117" s="20"/>
      <x:c r="N117" s="14" t="str">
        <x:f>IF(A117="","",IF(ISNUMBER(M117),ROUND(L117+M117,2),"Set added charges"))</x:f>
      </x:c>
      <x:c r="O117" s="9"/>
      <x:c r="P117" s="20"/>
      <x:c r="Q117" s="20"/>
      <x:c r="R117" s="19"/>
      <x:c r="S117" s="19"/>
      <x:c r="T117" s="14" t="str">
        <x:f>IF(A117="","",P117-Q117)</x:f>
      </x:c>
      <x:c r="U117" s="13" t="str">
        <x:f>IF(A117="","",COUNTIFS('Attendees'!$B$6:$B$205,A117,'Attendees'!$A$6:$A$205,"&lt;&gt;"))</x:f>
      </x:c>
      <x:c r="V117" s="13" t="str">
        <x:f>IF(A117="","",COUNTIFS('Attendees'!$B$6:$B$205,A117,'Attendees'!$F$6:$F$205,"Non-alcoholic",'Attendees'!$A$6:$A$205,"&lt;&gt;"))</x:f>
      </x:c>
      <x:c r="W117" s="13" t="str">
        <x:f>IF(A117="","",COUNTIFS('Attendees'!$B$6:$B$205,A117,'Attendees'!$F$6:$F$205,"Alcohol-inclusive",'Attendees'!$A$6:$A$205,"&lt;&gt;"))</x:f>
      </x:c>
      <x:c r="X117" s="9"/>
      <x:c r="Y117" s="13" t="str">
        <x:f>IF(A117="","",IF(COUNTIFS($A$6:$A$205,A117)&gt;1,"Duplicate booking ID",IF(OR(I117&lt;1,I117&gt;'Dashboard'!$E$10,G117&lt;0,H117&lt;0,G117&lt;&gt;INT(G117),H117&lt;&gt;INT(H117)),"Use 1–5 whole passes",IF(OR(C117="",E117="",F117=""),"Complete buyer name, phone and email",IF(NOT(ISNUMBER(M117)),"Set added charges (0 if none)",IF(AND(S117&lt;&gt;"",COUNTIFS($S$6:$S$205,S117)&gt;1),"Duplicate payment ID",IF(AND(O117="Confirmed",OR(P117&lt;&gt;N117,S117="")),"Verify full payment + payment ID",IF(OR(U117&lt;&gt;I117,V117&lt;&gt;G117,W117&lt;&gt;H117),"Complete matching attendee details",""))))))))</x:f>
      </x:c>
    </x:row>
    <x:row r="118" ht="22" customHeight="1">
      <x:c r="A118" s="9"/>
      <x:c r="B118" s="18"/>
      <x:c r="C118" s="9"/>
      <x:c r="D118" s="9"/>
      <x:c r="E118" s="19"/>
      <x:c r="F118" s="19"/>
      <x:c r="G118" s="9"/>
      <x:c r="H118" s="9"/>
      <x:c r="I118" s="13" t="str">
        <x:f>IF(A118="","",SUM(G118:H118))</x:f>
      </x:c>
      <x:c r="J118" s="20" t="n">
        <x:v>2999</x:v>
      </x:c>
      <x:c r="K118" s="20" t="n">
        <x:v>3999</x:v>
      </x:c>
      <x:c r="L118" s="14" t="str">
        <x:f>IF(A118="","",G118*J118+H118*K118)</x:f>
      </x:c>
      <x:c r="M118" s="20"/>
      <x:c r="N118" s="14" t="str">
        <x:f>IF(A118="","",IF(ISNUMBER(M118),ROUND(L118+M118,2),"Set added charges"))</x:f>
      </x:c>
      <x:c r="O118" s="9"/>
      <x:c r="P118" s="20"/>
      <x:c r="Q118" s="20"/>
      <x:c r="R118" s="19"/>
      <x:c r="S118" s="19"/>
      <x:c r="T118" s="14" t="str">
        <x:f>IF(A118="","",P118-Q118)</x:f>
      </x:c>
      <x:c r="U118" s="13" t="str">
        <x:f>IF(A118="","",COUNTIFS('Attendees'!$B$6:$B$205,A118,'Attendees'!$A$6:$A$205,"&lt;&gt;"))</x:f>
      </x:c>
      <x:c r="V118" s="13" t="str">
        <x:f>IF(A118="","",COUNTIFS('Attendees'!$B$6:$B$205,A118,'Attendees'!$F$6:$F$205,"Non-alcoholic",'Attendees'!$A$6:$A$205,"&lt;&gt;"))</x:f>
      </x:c>
      <x:c r="W118" s="13" t="str">
        <x:f>IF(A118="","",COUNTIFS('Attendees'!$B$6:$B$205,A118,'Attendees'!$F$6:$F$205,"Alcohol-inclusive",'Attendees'!$A$6:$A$205,"&lt;&gt;"))</x:f>
      </x:c>
      <x:c r="X118" s="9"/>
      <x:c r="Y118" s="13" t="str">
        <x:f>IF(A118="","",IF(COUNTIFS($A$6:$A$205,A118)&gt;1,"Duplicate booking ID",IF(OR(I118&lt;1,I118&gt;'Dashboard'!$E$10,G118&lt;0,H118&lt;0,G118&lt;&gt;INT(G118),H118&lt;&gt;INT(H118)),"Use 1–5 whole passes",IF(OR(C118="",E118="",F118=""),"Complete buyer name, phone and email",IF(NOT(ISNUMBER(M118)),"Set added charges (0 if none)",IF(AND(S118&lt;&gt;"",COUNTIFS($S$6:$S$205,S118)&gt;1),"Duplicate payment ID",IF(AND(O118="Confirmed",OR(P118&lt;&gt;N118,S118="")),"Verify full payment + payment ID",IF(OR(U118&lt;&gt;I118,V118&lt;&gt;G118,W118&lt;&gt;H118),"Complete matching attendee details",""))))))))</x:f>
      </x:c>
    </x:row>
    <x:row r="119" ht="22" customHeight="1">
      <x:c r="A119" s="9"/>
      <x:c r="B119" s="18"/>
      <x:c r="C119" s="9"/>
      <x:c r="D119" s="9"/>
      <x:c r="E119" s="19"/>
      <x:c r="F119" s="19"/>
      <x:c r="G119" s="9"/>
      <x:c r="H119" s="9"/>
      <x:c r="I119" s="13" t="str">
        <x:f>IF(A119="","",SUM(G119:H119))</x:f>
      </x:c>
      <x:c r="J119" s="20" t="n">
        <x:v>2999</x:v>
      </x:c>
      <x:c r="K119" s="20" t="n">
        <x:v>3999</x:v>
      </x:c>
      <x:c r="L119" s="14" t="str">
        <x:f>IF(A119="","",G119*J119+H119*K119)</x:f>
      </x:c>
      <x:c r="M119" s="20"/>
      <x:c r="N119" s="14" t="str">
        <x:f>IF(A119="","",IF(ISNUMBER(M119),ROUND(L119+M119,2),"Set added charges"))</x:f>
      </x:c>
      <x:c r="O119" s="9"/>
      <x:c r="P119" s="20"/>
      <x:c r="Q119" s="20"/>
      <x:c r="R119" s="19"/>
      <x:c r="S119" s="19"/>
      <x:c r="T119" s="14" t="str">
        <x:f>IF(A119="","",P119-Q119)</x:f>
      </x:c>
      <x:c r="U119" s="13" t="str">
        <x:f>IF(A119="","",COUNTIFS('Attendees'!$B$6:$B$205,A119,'Attendees'!$A$6:$A$205,"&lt;&gt;"))</x:f>
      </x:c>
      <x:c r="V119" s="13" t="str">
        <x:f>IF(A119="","",COUNTIFS('Attendees'!$B$6:$B$205,A119,'Attendees'!$F$6:$F$205,"Non-alcoholic",'Attendees'!$A$6:$A$205,"&lt;&gt;"))</x:f>
      </x:c>
      <x:c r="W119" s="13" t="str">
        <x:f>IF(A119="","",COUNTIFS('Attendees'!$B$6:$B$205,A119,'Attendees'!$F$6:$F$205,"Alcohol-inclusive",'Attendees'!$A$6:$A$205,"&lt;&gt;"))</x:f>
      </x:c>
      <x:c r="X119" s="9"/>
      <x:c r="Y119" s="13" t="str">
        <x:f>IF(A119="","",IF(COUNTIFS($A$6:$A$205,A119)&gt;1,"Duplicate booking ID",IF(OR(I119&lt;1,I119&gt;'Dashboard'!$E$10,G119&lt;0,H119&lt;0,G119&lt;&gt;INT(G119),H119&lt;&gt;INT(H119)),"Use 1–5 whole passes",IF(OR(C119="",E119="",F119=""),"Complete buyer name, phone and email",IF(NOT(ISNUMBER(M119)),"Set added charges (0 if none)",IF(AND(S119&lt;&gt;"",COUNTIFS($S$6:$S$205,S119)&gt;1),"Duplicate payment ID",IF(AND(O119="Confirmed",OR(P119&lt;&gt;N119,S119="")),"Verify full payment + payment ID",IF(OR(U119&lt;&gt;I119,V119&lt;&gt;G119,W119&lt;&gt;H119),"Complete matching attendee details",""))))))))</x:f>
      </x:c>
    </x:row>
    <x:row r="120" ht="22" customHeight="1">
      <x:c r="A120" s="9"/>
      <x:c r="B120" s="18"/>
      <x:c r="C120" s="9"/>
      <x:c r="D120" s="9"/>
      <x:c r="E120" s="19"/>
      <x:c r="F120" s="19"/>
      <x:c r="G120" s="9"/>
      <x:c r="H120" s="9"/>
      <x:c r="I120" s="13" t="str">
        <x:f>IF(A120="","",SUM(G120:H120))</x:f>
      </x:c>
      <x:c r="J120" s="20" t="n">
        <x:v>2999</x:v>
      </x:c>
      <x:c r="K120" s="20" t="n">
        <x:v>3999</x:v>
      </x:c>
      <x:c r="L120" s="14" t="str">
        <x:f>IF(A120="","",G120*J120+H120*K120)</x:f>
      </x:c>
      <x:c r="M120" s="20"/>
      <x:c r="N120" s="14" t="str">
        <x:f>IF(A120="","",IF(ISNUMBER(M120),ROUND(L120+M120,2),"Set added charges"))</x:f>
      </x:c>
      <x:c r="O120" s="9"/>
      <x:c r="P120" s="20"/>
      <x:c r="Q120" s="20"/>
      <x:c r="R120" s="19"/>
      <x:c r="S120" s="19"/>
      <x:c r="T120" s="14" t="str">
        <x:f>IF(A120="","",P120-Q120)</x:f>
      </x:c>
      <x:c r="U120" s="13" t="str">
        <x:f>IF(A120="","",COUNTIFS('Attendees'!$B$6:$B$205,A120,'Attendees'!$A$6:$A$205,"&lt;&gt;"))</x:f>
      </x:c>
      <x:c r="V120" s="13" t="str">
        <x:f>IF(A120="","",COUNTIFS('Attendees'!$B$6:$B$205,A120,'Attendees'!$F$6:$F$205,"Non-alcoholic",'Attendees'!$A$6:$A$205,"&lt;&gt;"))</x:f>
      </x:c>
      <x:c r="W120" s="13" t="str">
        <x:f>IF(A120="","",COUNTIFS('Attendees'!$B$6:$B$205,A120,'Attendees'!$F$6:$F$205,"Alcohol-inclusive",'Attendees'!$A$6:$A$205,"&lt;&gt;"))</x:f>
      </x:c>
      <x:c r="X120" s="9"/>
      <x:c r="Y120" s="13" t="str">
        <x:f>IF(A120="","",IF(COUNTIFS($A$6:$A$205,A120)&gt;1,"Duplicate booking ID",IF(OR(I120&lt;1,I120&gt;'Dashboard'!$E$10,G120&lt;0,H120&lt;0,G120&lt;&gt;INT(G120),H120&lt;&gt;INT(H120)),"Use 1–5 whole passes",IF(OR(C120="",E120="",F120=""),"Complete buyer name, phone and email",IF(NOT(ISNUMBER(M120)),"Set added charges (0 if none)",IF(AND(S120&lt;&gt;"",COUNTIFS($S$6:$S$205,S120)&gt;1),"Duplicate payment ID",IF(AND(O120="Confirmed",OR(P120&lt;&gt;N120,S120="")),"Verify full payment + payment ID",IF(OR(U120&lt;&gt;I120,V120&lt;&gt;G120,W120&lt;&gt;H120),"Complete matching attendee details",""))))))))</x:f>
      </x:c>
    </x:row>
    <x:row r="121" ht="22" customHeight="1">
      <x:c r="A121" s="9"/>
      <x:c r="B121" s="18"/>
      <x:c r="C121" s="9"/>
      <x:c r="D121" s="9"/>
      <x:c r="E121" s="19"/>
      <x:c r="F121" s="19"/>
      <x:c r="G121" s="9"/>
      <x:c r="H121" s="9"/>
      <x:c r="I121" s="13" t="str">
        <x:f>IF(A121="","",SUM(G121:H121))</x:f>
      </x:c>
      <x:c r="J121" s="20" t="n">
        <x:v>2999</x:v>
      </x:c>
      <x:c r="K121" s="20" t="n">
        <x:v>3999</x:v>
      </x:c>
      <x:c r="L121" s="14" t="str">
        <x:f>IF(A121="","",G121*J121+H121*K121)</x:f>
      </x:c>
      <x:c r="M121" s="20"/>
      <x:c r="N121" s="14" t="str">
        <x:f>IF(A121="","",IF(ISNUMBER(M121),ROUND(L121+M121,2),"Set added charges"))</x:f>
      </x:c>
      <x:c r="O121" s="9"/>
      <x:c r="P121" s="20"/>
      <x:c r="Q121" s="20"/>
      <x:c r="R121" s="19"/>
      <x:c r="S121" s="19"/>
      <x:c r="T121" s="14" t="str">
        <x:f>IF(A121="","",P121-Q121)</x:f>
      </x:c>
      <x:c r="U121" s="13" t="str">
        <x:f>IF(A121="","",COUNTIFS('Attendees'!$B$6:$B$205,A121,'Attendees'!$A$6:$A$205,"&lt;&gt;"))</x:f>
      </x:c>
      <x:c r="V121" s="13" t="str">
        <x:f>IF(A121="","",COUNTIFS('Attendees'!$B$6:$B$205,A121,'Attendees'!$F$6:$F$205,"Non-alcoholic",'Attendees'!$A$6:$A$205,"&lt;&gt;"))</x:f>
      </x:c>
      <x:c r="W121" s="13" t="str">
        <x:f>IF(A121="","",COUNTIFS('Attendees'!$B$6:$B$205,A121,'Attendees'!$F$6:$F$205,"Alcohol-inclusive",'Attendees'!$A$6:$A$205,"&lt;&gt;"))</x:f>
      </x:c>
      <x:c r="X121" s="9"/>
      <x:c r="Y121" s="13" t="str">
        <x:f>IF(A121="","",IF(COUNTIFS($A$6:$A$205,A121)&gt;1,"Duplicate booking ID",IF(OR(I121&lt;1,I121&gt;'Dashboard'!$E$10,G121&lt;0,H121&lt;0,G121&lt;&gt;INT(G121),H121&lt;&gt;INT(H121)),"Use 1–5 whole passes",IF(OR(C121="",E121="",F121=""),"Complete buyer name, phone and email",IF(NOT(ISNUMBER(M121)),"Set added charges (0 if none)",IF(AND(S121&lt;&gt;"",COUNTIFS($S$6:$S$205,S121)&gt;1),"Duplicate payment ID",IF(AND(O121="Confirmed",OR(P121&lt;&gt;N121,S121="")),"Verify full payment + payment ID",IF(OR(U121&lt;&gt;I121,V121&lt;&gt;G121,W121&lt;&gt;H121),"Complete matching attendee details",""))))))))</x:f>
      </x:c>
    </x:row>
    <x:row r="122" ht="22" customHeight="1">
      <x:c r="A122" s="9"/>
      <x:c r="B122" s="18"/>
      <x:c r="C122" s="9"/>
      <x:c r="D122" s="9"/>
      <x:c r="E122" s="19"/>
      <x:c r="F122" s="19"/>
      <x:c r="G122" s="9"/>
      <x:c r="H122" s="9"/>
      <x:c r="I122" s="13" t="str">
        <x:f>IF(A122="","",SUM(G122:H122))</x:f>
      </x:c>
      <x:c r="J122" s="20" t="n">
        <x:v>2999</x:v>
      </x:c>
      <x:c r="K122" s="20" t="n">
        <x:v>3999</x:v>
      </x:c>
      <x:c r="L122" s="14" t="str">
        <x:f>IF(A122="","",G122*J122+H122*K122)</x:f>
      </x:c>
      <x:c r="M122" s="20"/>
      <x:c r="N122" s="14" t="str">
        <x:f>IF(A122="","",IF(ISNUMBER(M122),ROUND(L122+M122,2),"Set added charges"))</x:f>
      </x:c>
      <x:c r="O122" s="9"/>
      <x:c r="P122" s="20"/>
      <x:c r="Q122" s="20"/>
      <x:c r="R122" s="19"/>
      <x:c r="S122" s="19"/>
      <x:c r="T122" s="14" t="str">
        <x:f>IF(A122="","",P122-Q122)</x:f>
      </x:c>
      <x:c r="U122" s="13" t="str">
        <x:f>IF(A122="","",COUNTIFS('Attendees'!$B$6:$B$205,A122,'Attendees'!$A$6:$A$205,"&lt;&gt;"))</x:f>
      </x:c>
      <x:c r="V122" s="13" t="str">
        <x:f>IF(A122="","",COUNTIFS('Attendees'!$B$6:$B$205,A122,'Attendees'!$F$6:$F$205,"Non-alcoholic",'Attendees'!$A$6:$A$205,"&lt;&gt;"))</x:f>
      </x:c>
      <x:c r="W122" s="13" t="str">
        <x:f>IF(A122="","",COUNTIFS('Attendees'!$B$6:$B$205,A122,'Attendees'!$F$6:$F$205,"Alcohol-inclusive",'Attendees'!$A$6:$A$205,"&lt;&gt;"))</x:f>
      </x:c>
      <x:c r="X122" s="9"/>
      <x:c r="Y122" s="13" t="str">
        <x:f>IF(A122="","",IF(COUNTIFS($A$6:$A$205,A122)&gt;1,"Duplicate booking ID",IF(OR(I122&lt;1,I122&gt;'Dashboard'!$E$10,G122&lt;0,H122&lt;0,G122&lt;&gt;INT(G122),H122&lt;&gt;INT(H122)),"Use 1–5 whole passes",IF(OR(C122="",E122="",F122=""),"Complete buyer name, phone and email",IF(NOT(ISNUMBER(M122)),"Set added charges (0 if none)",IF(AND(S122&lt;&gt;"",COUNTIFS($S$6:$S$205,S122)&gt;1),"Duplicate payment ID",IF(AND(O122="Confirmed",OR(P122&lt;&gt;N122,S122="")),"Verify full payment + payment ID",IF(OR(U122&lt;&gt;I122,V122&lt;&gt;G122,W122&lt;&gt;H122),"Complete matching attendee details",""))))))))</x:f>
      </x:c>
    </x:row>
    <x:row r="123" ht="22" customHeight="1">
      <x:c r="A123" s="9"/>
      <x:c r="B123" s="18"/>
      <x:c r="C123" s="9"/>
      <x:c r="D123" s="9"/>
      <x:c r="E123" s="19"/>
      <x:c r="F123" s="19"/>
      <x:c r="G123" s="9"/>
      <x:c r="H123" s="9"/>
      <x:c r="I123" s="13" t="str">
        <x:f>IF(A123="","",SUM(G123:H123))</x:f>
      </x:c>
      <x:c r="J123" s="20" t="n">
        <x:v>2999</x:v>
      </x:c>
      <x:c r="K123" s="20" t="n">
        <x:v>3999</x:v>
      </x:c>
      <x:c r="L123" s="14" t="str">
        <x:f>IF(A123="","",G123*J123+H123*K123)</x:f>
      </x:c>
      <x:c r="M123" s="20"/>
      <x:c r="N123" s="14" t="str">
        <x:f>IF(A123="","",IF(ISNUMBER(M123),ROUND(L123+M123,2),"Set added charges"))</x:f>
      </x:c>
      <x:c r="O123" s="9"/>
      <x:c r="P123" s="20"/>
      <x:c r="Q123" s="20"/>
      <x:c r="R123" s="19"/>
      <x:c r="S123" s="19"/>
      <x:c r="T123" s="14" t="str">
        <x:f>IF(A123="","",P123-Q123)</x:f>
      </x:c>
      <x:c r="U123" s="13" t="str">
        <x:f>IF(A123="","",COUNTIFS('Attendees'!$B$6:$B$205,A123,'Attendees'!$A$6:$A$205,"&lt;&gt;"))</x:f>
      </x:c>
      <x:c r="V123" s="13" t="str">
        <x:f>IF(A123="","",COUNTIFS('Attendees'!$B$6:$B$205,A123,'Attendees'!$F$6:$F$205,"Non-alcoholic",'Attendees'!$A$6:$A$205,"&lt;&gt;"))</x:f>
      </x:c>
      <x:c r="W123" s="13" t="str">
        <x:f>IF(A123="","",COUNTIFS('Attendees'!$B$6:$B$205,A123,'Attendees'!$F$6:$F$205,"Alcohol-inclusive",'Attendees'!$A$6:$A$205,"&lt;&gt;"))</x:f>
      </x:c>
      <x:c r="X123" s="9"/>
      <x:c r="Y123" s="13" t="str">
        <x:f>IF(A123="","",IF(COUNTIFS($A$6:$A$205,A123)&gt;1,"Duplicate booking ID",IF(OR(I123&lt;1,I123&gt;'Dashboard'!$E$10,G123&lt;0,H123&lt;0,G123&lt;&gt;INT(G123),H123&lt;&gt;INT(H123)),"Use 1–5 whole passes",IF(OR(C123="",E123="",F123=""),"Complete buyer name, phone and email",IF(NOT(ISNUMBER(M123)),"Set added charges (0 if none)",IF(AND(S123&lt;&gt;"",COUNTIFS($S$6:$S$205,S123)&gt;1),"Duplicate payment ID",IF(AND(O123="Confirmed",OR(P123&lt;&gt;N123,S123="")),"Verify full payment + payment ID",IF(OR(U123&lt;&gt;I123,V123&lt;&gt;G123,W123&lt;&gt;H123),"Complete matching attendee details",""))))))))</x:f>
      </x:c>
    </x:row>
    <x:row r="124" ht="22" customHeight="1">
      <x:c r="A124" s="9"/>
      <x:c r="B124" s="18"/>
      <x:c r="C124" s="9"/>
      <x:c r="D124" s="9"/>
      <x:c r="E124" s="19"/>
      <x:c r="F124" s="19"/>
      <x:c r="G124" s="9"/>
      <x:c r="H124" s="9"/>
      <x:c r="I124" s="13" t="str">
        <x:f>IF(A124="","",SUM(G124:H124))</x:f>
      </x:c>
      <x:c r="J124" s="20" t="n">
        <x:v>2999</x:v>
      </x:c>
      <x:c r="K124" s="20" t="n">
        <x:v>3999</x:v>
      </x:c>
      <x:c r="L124" s="14" t="str">
        <x:f>IF(A124="","",G124*J124+H124*K124)</x:f>
      </x:c>
      <x:c r="M124" s="20"/>
      <x:c r="N124" s="14" t="str">
        <x:f>IF(A124="","",IF(ISNUMBER(M124),ROUND(L124+M124,2),"Set added charges"))</x:f>
      </x:c>
      <x:c r="O124" s="9"/>
      <x:c r="P124" s="20"/>
      <x:c r="Q124" s="20"/>
      <x:c r="R124" s="19"/>
      <x:c r="S124" s="19"/>
      <x:c r="T124" s="14" t="str">
        <x:f>IF(A124="","",P124-Q124)</x:f>
      </x:c>
      <x:c r="U124" s="13" t="str">
        <x:f>IF(A124="","",COUNTIFS('Attendees'!$B$6:$B$205,A124,'Attendees'!$A$6:$A$205,"&lt;&gt;"))</x:f>
      </x:c>
      <x:c r="V124" s="13" t="str">
        <x:f>IF(A124="","",COUNTIFS('Attendees'!$B$6:$B$205,A124,'Attendees'!$F$6:$F$205,"Non-alcoholic",'Attendees'!$A$6:$A$205,"&lt;&gt;"))</x:f>
      </x:c>
      <x:c r="W124" s="13" t="str">
        <x:f>IF(A124="","",COUNTIFS('Attendees'!$B$6:$B$205,A124,'Attendees'!$F$6:$F$205,"Alcohol-inclusive",'Attendees'!$A$6:$A$205,"&lt;&gt;"))</x:f>
      </x:c>
      <x:c r="X124" s="9"/>
      <x:c r="Y124" s="13" t="str">
        <x:f>IF(A124="","",IF(COUNTIFS($A$6:$A$205,A124)&gt;1,"Duplicate booking ID",IF(OR(I124&lt;1,I124&gt;'Dashboard'!$E$10,G124&lt;0,H124&lt;0,G124&lt;&gt;INT(G124),H124&lt;&gt;INT(H124)),"Use 1–5 whole passes",IF(OR(C124="",E124="",F124=""),"Complete buyer name, phone and email",IF(NOT(ISNUMBER(M124)),"Set added charges (0 if none)",IF(AND(S124&lt;&gt;"",COUNTIFS($S$6:$S$205,S124)&gt;1),"Duplicate payment ID",IF(AND(O124="Confirmed",OR(P124&lt;&gt;N124,S124="")),"Verify full payment + payment ID",IF(OR(U124&lt;&gt;I124,V124&lt;&gt;G124,W124&lt;&gt;H124),"Complete matching attendee details",""))))))))</x:f>
      </x:c>
    </x:row>
    <x:row r="125" ht="22" customHeight="1">
      <x:c r="A125" s="9"/>
      <x:c r="B125" s="18"/>
      <x:c r="C125" s="9"/>
      <x:c r="D125" s="9"/>
      <x:c r="E125" s="19"/>
      <x:c r="F125" s="19"/>
      <x:c r="G125" s="9"/>
      <x:c r="H125" s="9"/>
      <x:c r="I125" s="13" t="str">
        <x:f>IF(A125="","",SUM(G125:H125))</x:f>
      </x:c>
      <x:c r="J125" s="20" t="n">
        <x:v>2999</x:v>
      </x:c>
      <x:c r="K125" s="20" t="n">
        <x:v>3999</x:v>
      </x:c>
      <x:c r="L125" s="14" t="str">
        <x:f>IF(A125="","",G125*J125+H125*K125)</x:f>
      </x:c>
      <x:c r="M125" s="20"/>
      <x:c r="N125" s="14" t="str">
        <x:f>IF(A125="","",IF(ISNUMBER(M125),ROUND(L125+M125,2),"Set added charges"))</x:f>
      </x:c>
      <x:c r="O125" s="9"/>
      <x:c r="P125" s="20"/>
      <x:c r="Q125" s="20"/>
      <x:c r="R125" s="19"/>
      <x:c r="S125" s="19"/>
      <x:c r="T125" s="14" t="str">
        <x:f>IF(A125="","",P125-Q125)</x:f>
      </x:c>
      <x:c r="U125" s="13" t="str">
        <x:f>IF(A125="","",COUNTIFS('Attendees'!$B$6:$B$205,A125,'Attendees'!$A$6:$A$205,"&lt;&gt;"))</x:f>
      </x:c>
      <x:c r="V125" s="13" t="str">
        <x:f>IF(A125="","",COUNTIFS('Attendees'!$B$6:$B$205,A125,'Attendees'!$F$6:$F$205,"Non-alcoholic",'Attendees'!$A$6:$A$205,"&lt;&gt;"))</x:f>
      </x:c>
      <x:c r="W125" s="13" t="str">
        <x:f>IF(A125="","",COUNTIFS('Attendees'!$B$6:$B$205,A125,'Attendees'!$F$6:$F$205,"Alcohol-inclusive",'Attendees'!$A$6:$A$205,"&lt;&gt;"))</x:f>
      </x:c>
      <x:c r="X125" s="9"/>
      <x:c r="Y125" s="13" t="str">
        <x:f>IF(A125="","",IF(COUNTIFS($A$6:$A$205,A125)&gt;1,"Duplicate booking ID",IF(OR(I125&lt;1,I125&gt;'Dashboard'!$E$10,G125&lt;0,H125&lt;0,G125&lt;&gt;INT(G125),H125&lt;&gt;INT(H125)),"Use 1–5 whole passes",IF(OR(C125="",E125="",F125=""),"Complete buyer name, phone and email",IF(NOT(ISNUMBER(M125)),"Set added charges (0 if none)",IF(AND(S125&lt;&gt;"",COUNTIFS($S$6:$S$205,S125)&gt;1),"Duplicate payment ID",IF(AND(O125="Confirmed",OR(P125&lt;&gt;N125,S125="")),"Verify full payment + payment ID",IF(OR(U125&lt;&gt;I125,V125&lt;&gt;G125,W125&lt;&gt;H125),"Complete matching attendee details",""))))))))</x:f>
      </x:c>
    </x:row>
    <x:row r="126" ht="22" customHeight="1">
      <x:c r="A126" s="9"/>
      <x:c r="B126" s="18"/>
      <x:c r="C126" s="9"/>
      <x:c r="D126" s="9"/>
      <x:c r="E126" s="19"/>
      <x:c r="F126" s="19"/>
      <x:c r="G126" s="9"/>
      <x:c r="H126" s="9"/>
      <x:c r="I126" s="13" t="str">
        <x:f>IF(A126="","",SUM(G126:H126))</x:f>
      </x:c>
      <x:c r="J126" s="20" t="n">
        <x:v>2999</x:v>
      </x:c>
      <x:c r="K126" s="20" t="n">
        <x:v>3999</x:v>
      </x:c>
      <x:c r="L126" s="14" t="str">
        <x:f>IF(A126="","",G126*J126+H126*K126)</x:f>
      </x:c>
      <x:c r="M126" s="20"/>
      <x:c r="N126" s="14" t="str">
        <x:f>IF(A126="","",IF(ISNUMBER(M126),ROUND(L126+M126,2),"Set added charges"))</x:f>
      </x:c>
      <x:c r="O126" s="9"/>
      <x:c r="P126" s="20"/>
      <x:c r="Q126" s="20"/>
      <x:c r="R126" s="19"/>
      <x:c r="S126" s="19"/>
      <x:c r="T126" s="14" t="str">
        <x:f>IF(A126="","",P126-Q126)</x:f>
      </x:c>
      <x:c r="U126" s="13" t="str">
        <x:f>IF(A126="","",COUNTIFS('Attendees'!$B$6:$B$205,A126,'Attendees'!$A$6:$A$205,"&lt;&gt;"))</x:f>
      </x:c>
      <x:c r="V126" s="13" t="str">
        <x:f>IF(A126="","",COUNTIFS('Attendees'!$B$6:$B$205,A126,'Attendees'!$F$6:$F$205,"Non-alcoholic",'Attendees'!$A$6:$A$205,"&lt;&gt;"))</x:f>
      </x:c>
      <x:c r="W126" s="13" t="str">
        <x:f>IF(A126="","",COUNTIFS('Attendees'!$B$6:$B$205,A126,'Attendees'!$F$6:$F$205,"Alcohol-inclusive",'Attendees'!$A$6:$A$205,"&lt;&gt;"))</x:f>
      </x:c>
      <x:c r="X126" s="9"/>
      <x:c r="Y126" s="13" t="str">
        <x:f>IF(A126="","",IF(COUNTIFS($A$6:$A$205,A126)&gt;1,"Duplicate booking ID",IF(OR(I126&lt;1,I126&gt;'Dashboard'!$E$10,G126&lt;0,H126&lt;0,G126&lt;&gt;INT(G126),H126&lt;&gt;INT(H126)),"Use 1–5 whole passes",IF(OR(C126="",E126="",F126=""),"Complete buyer name, phone and email",IF(NOT(ISNUMBER(M126)),"Set added charges (0 if none)",IF(AND(S126&lt;&gt;"",COUNTIFS($S$6:$S$205,S126)&gt;1),"Duplicate payment ID",IF(AND(O126="Confirmed",OR(P126&lt;&gt;N126,S126="")),"Verify full payment + payment ID",IF(OR(U126&lt;&gt;I126,V126&lt;&gt;G126,W126&lt;&gt;H126),"Complete matching attendee details",""))))))))</x:f>
      </x:c>
    </x:row>
    <x:row r="127" ht="22" customHeight="1">
      <x:c r="A127" s="9"/>
      <x:c r="B127" s="18"/>
      <x:c r="C127" s="9"/>
      <x:c r="D127" s="9"/>
      <x:c r="E127" s="19"/>
      <x:c r="F127" s="19"/>
      <x:c r="G127" s="9"/>
      <x:c r="H127" s="9"/>
      <x:c r="I127" s="13" t="str">
        <x:f>IF(A127="","",SUM(G127:H127))</x:f>
      </x:c>
      <x:c r="J127" s="20" t="n">
        <x:v>2999</x:v>
      </x:c>
      <x:c r="K127" s="20" t="n">
        <x:v>3999</x:v>
      </x:c>
      <x:c r="L127" s="14" t="str">
        <x:f>IF(A127="","",G127*J127+H127*K127)</x:f>
      </x:c>
      <x:c r="M127" s="20"/>
      <x:c r="N127" s="14" t="str">
        <x:f>IF(A127="","",IF(ISNUMBER(M127),ROUND(L127+M127,2),"Set added charges"))</x:f>
      </x:c>
      <x:c r="O127" s="9"/>
      <x:c r="P127" s="20"/>
      <x:c r="Q127" s="20"/>
      <x:c r="R127" s="19"/>
      <x:c r="S127" s="19"/>
      <x:c r="T127" s="14" t="str">
        <x:f>IF(A127="","",P127-Q127)</x:f>
      </x:c>
      <x:c r="U127" s="13" t="str">
        <x:f>IF(A127="","",COUNTIFS('Attendees'!$B$6:$B$205,A127,'Attendees'!$A$6:$A$205,"&lt;&gt;"))</x:f>
      </x:c>
      <x:c r="V127" s="13" t="str">
        <x:f>IF(A127="","",COUNTIFS('Attendees'!$B$6:$B$205,A127,'Attendees'!$F$6:$F$205,"Non-alcoholic",'Attendees'!$A$6:$A$205,"&lt;&gt;"))</x:f>
      </x:c>
      <x:c r="W127" s="13" t="str">
        <x:f>IF(A127="","",COUNTIFS('Attendees'!$B$6:$B$205,A127,'Attendees'!$F$6:$F$205,"Alcohol-inclusive",'Attendees'!$A$6:$A$205,"&lt;&gt;"))</x:f>
      </x:c>
      <x:c r="X127" s="9"/>
      <x:c r="Y127" s="13" t="str">
        <x:f>IF(A127="","",IF(COUNTIFS($A$6:$A$205,A127)&gt;1,"Duplicate booking ID",IF(OR(I127&lt;1,I127&gt;'Dashboard'!$E$10,G127&lt;0,H127&lt;0,G127&lt;&gt;INT(G127),H127&lt;&gt;INT(H127)),"Use 1–5 whole passes",IF(OR(C127="",E127="",F127=""),"Complete buyer name, phone and email",IF(NOT(ISNUMBER(M127)),"Set added charges (0 if none)",IF(AND(S127&lt;&gt;"",COUNTIFS($S$6:$S$205,S127)&gt;1),"Duplicate payment ID",IF(AND(O127="Confirmed",OR(P127&lt;&gt;N127,S127="")),"Verify full payment + payment ID",IF(OR(U127&lt;&gt;I127,V127&lt;&gt;G127,W127&lt;&gt;H127),"Complete matching attendee details",""))))))))</x:f>
      </x:c>
    </x:row>
    <x:row r="128" ht="22" customHeight="1">
      <x:c r="A128" s="9"/>
      <x:c r="B128" s="18"/>
      <x:c r="C128" s="9"/>
      <x:c r="D128" s="9"/>
      <x:c r="E128" s="19"/>
      <x:c r="F128" s="19"/>
      <x:c r="G128" s="9"/>
      <x:c r="H128" s="9"/>
      <x:c r="I128" s="13" t="str">
        <x:f>IF(A128="","",SUM(G128:H128))</x:f>
      </x:c>
      <x:c r="J128" s="20" t="n">
        <x:v>2999</x:v>
      </x:c>
      <x:c r="K128" s="20" t="n">
        <x:v>3999</x:v>
      </x:c>
      <x:c r="L128" s="14" t="str">
        <x:f>IF(A128="","",G128*J128+H128*K128)</x:f>
      </x:c>
      <x:c r="M128" s="20"/>
      <x:c r="N128" s="14" t="str">
        <x:f>IF(A128="","",IF(ISNUMBER(M128),ROUND(L128+M128,2),"Set added charges"))</x:f>
      </x:c>
      <x:c r="O128" s="9"/>
      <x:c r="P128" s="20"/>
      <x:c r="Q128" s="20"/>
      <x:c r="R128" s="19"/>
      <x:c r="S128" s="19"/>
      <x:c r="T128" s="14" t="str">
        <x:f>IF(A128="","",P128-Q128)</x:f>
      </x:c>
      <x:c r="U128" s="13" t="str">
        <x:f>IF(A128="","",COUNTIFS('Attendees'!$B$6:$B$205,A128,'Attendees'!$A$6:$A$205,"&lt;&gt;"))</x:f>
      </x:c>
      <x:c r="V128" s="13" t="str">
        <x:f>IF(A128="","",COUNTIFS('Attendees'!$B$6:$B$205,A128,'Attendees'!$F$6:$F$205,"Non-alcoholic",'Attendees'!$A$6:$A$205,"&lt;&gt;"))</x:f>
      </x:c>
      <x:c r="W128" s="13" t="str">
        <x:f>IF(A128="","",COUNTIFS('Attendees'!$B$6:$B$205,A128,'Attendees'!$F$6:$F$205,"Alcohol-inclusive",'Attendees'!$A$6:$A$205,"&lt;&gt;"))</x:f>
      </x:c>
      <x:c r="X128" s="9"/>
      <x:c r="Y128" s="13" t="str">
        <x:f>IF(A128="","",IF(COUNTIFS($A$6:$A$205,A128)&gt;1,"Duplicate booking ID",IF(OR(I128&lt;1,I128&gt;'Dashboard'!$E$10,G128&lt;0,H128&lt;0,G128&lt;&gt;INT(G128),H128&lt;&gt;INT(H128)),"Use 1–5 whole passes",IF(OR(C128="",E128="",F128=""),"Complete buyer name, phone and email",IF(NOT(ISNUMBER(M128)),"Set added charges (0 if none)",IF(AND(S128&lt;&gt;"",COUNTIFS($S$6:$S$205,S128)&gt;1),"Duplicate payment ID",IF(AND(O128="Confirmed",OR(P128&lt;&gt;N128,S128="")),"Verify full payment + payment ID",IF(OR(U128&lt;&gt;I128,V128&lt;&gt;G128,W128&lt;&gt;H128),"Complete matching attendee details",""))))))))</x:f>
      </x:c>
    </x:row>
    <x:row r="129" ht="22" customHeight="1">
      <x:c r="A129" s="9"/>
      <x:c r="B129" s="18"/>
      <x:c r="C129" s="9"/>
      <x:c r="D129" s="9"/>
      <x:c r="E129" s="19"/>
      <x:c r="F129" s="19"/>
      <x:c r="G129" s="9"/>
      <x:c r="H129" s="9"/>
      <x:c r="I129" s="13" t="str">
        <x:f>IF(A129="","",SUM(G129:H129))</x:f>
      </x:c>
      <x:c r="J129" s="20" t="n">
        <x:v>2999</x:v>
      </x:c>
      <x:c r="K129" s="20" t="n">
        <x:v>3999</x:v>
      </x:c>
      <x:c r="L129" s="14" t="str">
        <x:f>IF(A129="","",G129*J129+H129*K129)</x:f>
      </x:c>
      <x:c r="M129" s="20"/>
      <x:c r="N129" s="14" t="str">
        <x:f>IF(A129="","",IF(ISNUMBER(M129),ROUND(L129+M129,2),"Set added charges"))</x:f>
      </x:c>
      <x:c r="O129" s="9"/>
      <x:c r="P129" s="20"/>
      <x:c r="Q129" s="20"/>
      <x:c r="R129" s="19"/>
      <x:c r="S129" s="19"/>
      <x:c r="T129" s="14" t="str">
        <x:f>IF(A129="","",P129-Q129)</x:f>
      </x:c>
      <x:c r="U129" s="13" t="str">
        <x:f>IF(A129="","",COUNTIFS('Attendees'!$B$6:$B$205,A129,'Attendees'!$A$6:$A$205,"&lt;&gt;"))</x:f>
      </x:c>
      <x:c r="V129" s="13" t="str">
        <x:f>IF(A129="","",COUNTIFS('Attendees'!$B$6:$B$205,A129,'Attendees'!$F$6:$F$205,"Non-alcoholic",'Attendees'!$A$6:$A$205,"&lt;&gt;"))</x:f>
      </x:c>
      <x:c r="W129" s="13" t="str">
        <x:f>IF(A129="","",COUNTIFS('Attendees'!$B$6:$B$205,A129,'Attendees'!$F$6:$F$205,"Alcohol-inclusive",'Attendees'!$A$6:$A$205,"&lt;&gt;"))</x:f>
      </x:c>
      <x:c r="X129" s="9"/>
      <x:c r="Y129" s="13" t="str">
        <x:f>IF(A129="","",IF(COUNTIFS($A$6:$A$205,A129)&gt;1,"Duplicate booking ID",IF(OR(I129&lt;1,I129&gt;'Dashboard'!$E$10,G129&lt;0,H129&lt;0,G129&lt;&gt;INT(G129),H129&lt;&gt;INT(H129)),"Use 1–5 whole passes",IF(OR(C129="",E129="",F129=""),"Complete buyer name, phone and email",IF(NOT(ISNUMBER(M129)),"Set added charges (0 if none)",IF(AND(S129&lt;&gt;"",COUNTIFS($S$6:$S$205,S129)&gt;1),"Duplicate payment ID",IF(AND(O129="Confirmed",OR(P129&lt;&gt;N129,S129="")),"Verify full payment + payment ID",IF(OR(U129&lt;&gt;I129,V129&lt;&gt;G129,W129&lt;&gt;H129),"Complete matching attendee details",""))))))))</x:f>
      </x:c>
    </x:row>
    <x:row r="130" ht="22" customHeight="1">
      <x:c r="A130" s="9"/>
      <x:c r="B130" s="18"/>
      <x:c r="C130" s="9"/>
      <x:c r="D130" s="9"/>
      <x:c r="E130" s="19"/>
      <x:c r="F130" s="19"/>
      <x:c r="G130" s="9"/>
      <x:c r="H130" s="9"/>
      <x:c r="I130" s="13" t="str">
        <x:f>IF(A130="","",SUM(G130:H130))</x:f>
      </x:c>
      <x:c r="J130" s="20" t="n">
        <x:v>2999</x:v>
      </x:c>
      <x:c r="K130" s="20" t="n">
        <x:v>3999</x:v>
      </x:c>
      <x:c r="L130" s="14" t="str">
        <x:f>IF(A130="","",G130*J130+H130*K130)</x:f>
      </x:c>
      <x:c r="M130" s="20"/>
      <x:c r="N130" s="14" t="str">
        <x:f>IF(A130="","",IF(ISNUMBER(M130),ROUND(L130+M130,2),"Set added charges"))</x:f>
      </x:c>
      <x:c r="O130" s="9"/>
      <x:c r="P130" s="20"/>
      <x:c r="Q130" s="20"/>
      <x:c r="R130" s="19"/>
      <x:c r="S130" s="19"/>
      <x:c r="T130" s="14" t="str">
        <x:f>IF(A130="","",P130-Q130)</x:f>
      </x:c>
      <x:c r="U130" s="13" t="str">
        <x:f>IF(A130="","",COUNTIFS('Attendees'!$B$6:$B$205,A130,'Attendees'!$A$6:$A$205,"&lt;&gt;"))</x:f>
      </x:c>
      <x:c r="V130" s="13" t="str">
        <x:f>IF(A130="","",COUNTIFS('Attendees'!$B$6:$B$205,A130,'Attendees'!$F$6:$F$205,"Non-alcoholic",'Attendees'!$A$6:$A$205,"&lt;&gt;"))</x:f>
      </x:c>
      <x:c r="W130" s="13" t="str">
        <x:f>IF(A130="","",COUNTIFS('Attendees'!$B$6:$B$205,A130,'Attendees'!$F$6:$F$205,"Alcohol-inclusive",'Attendees'!$A$6:$A$205,"&lt;&gt;"))</x:f>
      </x:c>
      <x:c r="X130" s="9"/>
      <x:c r="Y130" s="13" t="str">
        <x:f>IF(A130="","",IF(COUNTIFS($A$6:$A$205,A130)&gt;1,"Duplicate booking ID",IF(OR(I130&lt;1,I130&gt;'Dashboard'!$E$10,G130&lt;0,H130&lt;0,G130&lt;&gt;INT(G130),H130&lt;&gt;INT(H130)),"Use 1–5 whole passes",IF(OR(C130="",E130="",F130=""),"Complete buyer name, phone and email",IF(NOT(ISNUMBER(M130)),"Set added charges (0 if none)",IF(AND(S130&lt;&gt;"",COUNTIFS($S$6:$S$205,S130)&gt;1),"Duplicate payment ID",IF(AND(O130="Confirmed",OR(P130&lt;&gt;N130,S130="")),"Verify full payment + payment ID",IF(OR(U130&lt;&gt;I130,V130&lt;&gt;G130,W130&lt;&gt;H130),"Complete matching attendee details",""))))))))</x:f>
      </x:c>
    </x:row>
    <x:row r="131" ht="22" customHeight="1">
      <x:c r="A131" s="9"/>
      <x:c r="B131" s="18"/>
      <x:c r="C131" s="9"/>
      <x:c r="D131" s="9"/>
      <x:c r="E131" s="19"/>
      <x:c r="F131" s="19"/>
      <x:c r="G131" s="9"/>
      <x:c r="H131" s="9"/>
      <x:c r="I131" s="13" t="str">
        <x:f>IF(A131="","",SUM(G131:H131))</x:f>
      </x:c>
      <x:c r="J131" s="20" t="n">
        <x:v>2999</x:v>
      </x:c>
      <x:c r="K131" s="20" t="n">
        <x:v>3999</x:v>
      </x:c>
      <x:c r="L131" s="14" t="str">
        <x:f>IF(A131="","",G131*J131+H131*K131)</x:f>
      </x:c>
      <x:c r="M131" s="20"/>
      <x:c r="N131" s="14" t="str">
        <x:f>IF(A131="","",IF(ISNUMBER(M131),ROUND(L131+M131,2),"Set added charges"))</x:f>
      </x:c>
      <x:c r="O131" s="9"/>
      <x:c r="P131" s="20"/>
      <x:c r="Q131" s="20"/>
      <x:c r="R131" s="19"/>
      <x:c r="S131" s="19"/>
      <x:c r="T131" s="14" t="str">
        <x:f>IF(A131="","",P131-Q131)</x:f>
      </x:c>
      <x:c r="U131" s="13" t="str">
        <x:f>IF(A131="","",COUNTIFS('Attendees'!$B$6:$B$205,A131,'Attendees'!$A$6:$A$205,"&lt;&gt;"))</x:f>
      </x:c>
      <x:c r="V131" s="13" t="str">
        <x:f>IF(A131="","",COUNTIFS('Attendees'!$B$6:$B$205,A131,'Attendees'!$F$6:$F$205,"Non-alcoholic",'Attendees'!$A$6:$A$205,"&lt;&gt;"))</x:f>
      </x:c>
      <x:c r="W131" s="13" t="str">
        <x:f>IF(A131="","",COUNTIFS('Attendees'!$B$6:$B$205,A131,'Attendees'!$F$6:$F$205,"Alcohol-inclusive",'Attendees'!$A$6:$A$205,"&lt;&gt;"))</x:f>
      </x:c>
      <x:c r="X131" s="9"/>
      <x:c r="Y131" s="13" t="str">
        <x:f>IF(A131="","",IF(COUNTIFS($A$6:$A$205,A131)&gt;1,"Duplicate booking ID",IF(OR(I131&lt;1,I131&gt;'Dashboard'!$E$10,G131&lt;0,H131&lt;0,G131&lt;&gt;INT(G131),H131&lt;&gt;INT(H131)),"Use 1–5 whole passes",IF(OR(C131="",E131="",F131=""),"Complete buyer name, phone and email",IF(NOT(ISNUMBER(M131)),"Set added charges (0 if none)",IF(AND(S131&lt;&gt;"",COUNTIFS($S$6:$S$205,S131)&gt;1),"Duplicate payment ID",IF(AND(O131="Confirmed",OR(P131&lt;&gt;N131,S131="")),"Verify full payment + payment ID",IF(OR(U131&lt;&gt;I131,V131&lt;&gt;G131,W131&lt;&gt;H131),"Complete matching attendee details",""))))))))</x:f>
      </x:c>
    </x:row>
    <x:row r="132" ht="22" customHeight="1">
      <x:c r="A132" s="9"/>
      <x:c r="B132" s="18"/>
      <x:c r="C132" s="9"/>
      <x:c r="D132" s="9"/>
      <x:c r="E132" s="19"/>
      <x:c r="F132" s="19"/>
      <x:c r="G132" s="9"/>
      <x:c r="H132" s="9"/>
      <x:c r="I132" s="13" t="str">
        <x:f>IF(A132="","",SUM(G132:H132))</x:f>
      </x:c>
      <x:c r="J132" s="20" t="n">
        <x:v>2999</x:v>
      </x:c>
      <x:c r="K132" s="20" t="n">
        <x:v>3999</x:v>
      </x:c>
      <x:c r="L132" s="14" t="str">
        <x:f>IF(A132="","",G132*J132+H132*K132)</x:f>
      </x:c>
      <x:c r="M132" s="20"/>
      <x:c r="N132" s="14" t="str">
        <x:f>IF(A132="","",IF(ISNUMBER(M132),ROUND(L132+M132,2),"Set added charges"))</x:f>
      </x:c>
      <x:c r="O132" s="9"/>
      <x:c r="P132" s="20"/>
      <x:c r="Q132" s="20"/>
      <x:c r="R132" s="19"/>
      <x:c r="S132" s="19"/>
      <x:c r="T132" s="14" t="str">
        <x:f>IF(A132="","",P132-Q132)</x:f>
      </x:c>
      <x:c r="U132" s="13" t="str">
        <x:f>IF(A132="","",COUNTIFS('Attendees'!$B$6:$B$205,A132,'Attendees'!$A$6:$A$205,"&lt;&gt;"))</x:f>
      </x:c>
      <x:c r="V132" s="13" t="str">
        <x:f>IF(A132="","",COUNTIFS('Attendees'!$B$6:$B$205,A132,'Attendees'!$F$6:$F$205,"Non-alcoholic",'Attendees'!$A$6:$A$205,"&lt;&gt;"))</x:f>
      </x:c>
      <x:c r="W132" s="13" t="str">
        <x:f>IF(A132="","",COUNTIFS('Attendees'!$B$6:$B$205,A132,'Attendees'!$F$6:$F$205,"Alcohol-inclusive",'Attendees'!$A$6:$A$205,"&lt;&gt;"))</x:f>
      </x:c>
      <x:c r="X132" s="9"/>
      <x:c r="Y132" s="13" t="str">
        <x:f>IF(A132="","",IF(COUNTIFS($A$6:$A$205,A132)&gt;1,"Duplicate booking ID",IF(OR(I132&lt;1,I132&gt;'Dashboard'!$E$10,G132&lt;0,H132&lt;0,G132&lt;&gt;INT(G132),H132&lt;&gt;INT(H132)),"Use 1–5 whole passes",IF(OR(C132="",E132="",F132=""),"Complete buyer name, phone and email",IF(NOT(ISNUMBER(M132)),"Set added charges (0 if none)",IF(AND(S132&lt;&gt;"",COUNTIFS($S$6:$S$205,S132)&gt;1),"Duplicate payment ID",IF(AND(O132="Confirmed",OR(P132&lt;&gt;N132,S132="")),"Verify full payment + payment ID",IF(OR(U132&lt;&gt;I132,V132&lt;&gt;G132,W132&lt;&gt;H132),"Complete matching attendee details",""))))))))</x:f>
      </x:c>
    </x:row>
    <x:row r="133" ht="22" customHeight="1">
      <x:c r="A133" s="9"/>
      <x:c r="B133" s="18"/>
      <x:c r="C133" s="9"/>
      <x:c r="D133" s="9"/>
      <x:c r="E133" s="19"/>
      <x:c r="F133" s="19"/>
      <x:c r="G133" s="9"/>
      <x:c r="H133" s="9"/>
      <x:c r="I133" s="13" t="str">
        <x:f>IF(A133="","",SUM(G133:H133))</x:f>
      </x:c>
      <x:c r="J133" s="20" t="n">
        <x:v>2999</x:v>
      </x:c>
      <x:c r="K133" s="20" t="n">
        <x:v>3999</x:v>
      </x:c>
      <x:c r="L133" s="14" t="str">
        <x:f>IF(A133="","",G133*J133+H133*K133)</x:f>
      </x:c>
      <x:c r="M133" s="20"/>
      <x:c r="N133" s="14" t="str">
        <x:f>IF(A133="","",IF(ISNUMBER(M133),ROUND(L133+M133,2),"Set added charges"))</x:f>
      </x:c>
      <x:c r="O133" s="9"/>
      <x:c r="P133" s="20"/>
      <x:c r="Q133" s="20"/>
      <x:c r="R133" s="19"/>
      <x:c r="S133" s="19"/>
      <x:c r="T133" s="14" t="str">
        <x:f>IF(A133="","",P133-Q133)</x:f>
      </x:c>
      <x:c r="U133" s="13" t="str">
        <x:f>IF(A133="","",COUNTIFS('Attendees'!$B$6:$B$205,A133,'Attendees'!$A$6:$A$205,"&lt;&gt;"))</x:f>
      </x:c>
      <x:c r="V133" s="13" t="str">
        <x:f>IF(A133="","",COUNTIFS('Attendees'!$B$6:$B$205,A133,'Attendees'!$F$6:$F$205,"Non-alcoholic",'Attendees'!$A$6:$A$205,"&lt;&gt;"))</x:f>
      </x:c>
      <x:c r="W133" s="13" t="str">
        <x:f>IF(A133="","",COUNTIFS('Attendees'!$B$6:$B$205,A133,'Attendees'!$F$6:$F$205,"Alcohol-inclusive",'Attendees'!$A$6:$A$205,"&lt;&gt;"))</x:f>
      </x:c>
      <x:c r="X133" s="9"/>
      <x:c r="Y133" s="13" t="str">
        <x:f>IF(A133="","",IF(COUNTIFS($A$6:$A$205,A133)&gt;1,"Duplicate booking ID",IF(OR(I133&lt;1,I133&gt;'Dashboard'!$E$10,G133&lt;0,H133&lt;0,G133&lt;&gt;INT(G133),H133&lt;&gt;INT(H133)),"Use 1–5 whole passes",IF(OR(C133="",E133="",F133=""),"Complete buyer name, phone and email",IF(NOT(ISNUMBER(M133)),"Set added charges (0 if none)",IF(AND(S133&lt;&gt;"",COUNTIFS($S$6:$S$205,S133)&gt;1),"Duplicate payment ID",IF(AND(O133="Confirmed",OR(P133&lt;&gt;N133,S133="")),"Verify full payment + payment ID",IF(OR(U133&lt;&gt;I133,V133&lt;&gt;G133,W133&lt;&gt;H133),"Complete matching attendee details",""))))))))</x:f>
      </x:c>
    </x:row>
    <x:row r="134" ht="22" customHeight="1">
      <x:c r="A134" s="9"/>
      <x:c r="B134" s="18"/>
      <x:c r="C134" s="9"/>
      <x:c r="D134" s="9"/>
      <x:c r="E134" s="19"/>
      <x:c r="F134" s="19"/>
      <x:c r="G134" s="9"/>
      <x:c r="H134" s="9"/>
      <x:c r="I134" s="13" t="str">
        <x:f>IF(A134="","",SUM(G134:H134))</x:f>
      </x:c>
      <x:c r="J134" s="20" t="n">
        <x:v>2999</x:v>
      </x:c>
      <x:c r="K134" s="20" t="n">
        <x:v>3999</x:v>
      </x:c>
      <x:c r="L134" s="14" t="str">
        <x:f>IF(A134="","",G134*J134+H134*K134)</x:f>
      </x:c>
      <x:c r="M134" s="20"/>
      <x:c r="N134" s="14" t="str">
        <x:f>IF(A134="","",IF(ISNUMBER(M134),ROUND(L134+M134,2),"Set added charges"))</x:f>
      </x:c>
      <x:c r="O134" s="9"/>
      <x:c r="P134" s="20"/>
      <x:c r="Q134" s="20"/>
      <x:c r="R134" s="19"/>
      <x:c r="S134" s="19"/>
      <x:c r="T134" s="14" t="str">
        <x:f>IF(A134="","",P134-Q134)</x:f>
      </x:c>
      <x:c r="U134" s="13" t="str">
        <x:f>IF(A134="","",COUNTIFS('Attendees'!$B$6:$B$205,A134,'Attendees'!$A$6:$A$205,"&lt;&gt;"))</x:f>
      </x:c>
      <x:c r="V134" s="13" t="str">
        <x:f>IF(A134="","",COUNTIFS('Attendees'!$B$6:$B$205,A134,'Attendees'!$F$6:$F$205,"Non-alcoholic",'Attendees'!$A$6:$A$205,"&lt;&gt;"))</x:f>
      </x:c>
      <x:c r="W134" s="13" t="str">
        <x:f>IF(A134="","",COUNTIFS('Attendees'!$B$6:$B$205,A134,'Attendees'!$F$6:$F$205,"Alcohol-inclusive",'Attendees'!$A$6:$A$205,"&lt;&gt;"))</x:f>
      </x:c>
      <x:c r="X134" s="9"/>
      <x:c r="Y134" s="13" t="str">
        <x:f>IF(A134="","",IF(COUNTIFS($A$6:$A$205,A134)&gt;1,"Duplicate booking ID",IF(OR(I134&lt;1,I134&gt;'Dashboard'!$E$10,G134&lt;0,H134&lt;0,G134&lt;&gt;INT(G134),H134&lt;&gt;INT(H134)),"Use 1–5 whole passes",IF(OR(C134="",E134="",F134=""),"Complete buyer name, phone and email",IF(NOT(ISNUMBER(M134)),"Set added charges (0 if none)",IF(AND(S134&lt;&gt;"",COUNTIFS($S$6:$S$205,S134)&gt;1),"Duplicate payment ID",IF(AND(O134="Confirmed",OR(P134&lt;&gt;N134,S134="")),"Verify full payment + payment ID",IF(OR(U134&lt;&gt;I134,V134&lt;&gt;G134,W134&lt;&gt;H134),"Complete matching attendee details",""))))))))</x:f>
      </x:c>
    </x:row>
    <x:row r="135" ht="22" customHeight="1">
      <x:c r="A135" s="9"/>
      <x:c r="B135" s="18"/>
      <x:c r="C135" s="9"/>
      <x:c r="D135" s="9"/>
      <x:c r="E135" s="19"/>
      <x:c r="F135" s="19"/>
      <x:c r="G135" s="9"/>
      <x:c r="H135" s="9"/>
      <x:c r="I135" s="13" t="str">
        <x:f>IF(A135="","",SUM(G135:H135))</x:f>
      </x:c>
      <x:c r="J135" s="20" t="n">
        <x:v>2999</x:v>
      </x:c>
      <x:c r="K135" s="20" t="n">
        <x:v>3999</x:v>
      </x:c>
      <x:c r="L135" s="14" t="str">
        <x:f>IF(A135="","",G135*J135+H135*K135)</x:f>
      </x:c>
      <x:c r="M135" s="20"/>
      <x:c r="N135" s="14" t="str">
        <x:f>IF(A135="","",IF(ISNUMBER(M135),ROUND(L135+M135,2),"Set added charges"))</x:f>
      </x:c>
      <x:c r="O135" s="9"/>
      <x:c r="P135" s="20"/>
      <x:c r="Q135" s="20"/>
      <x:c r="R135" s="19"/>
      <x:c r="S135" s="19"/>
      <x:c r="T135" s="14" t="str">
        <x:f>IF(A135="","",P135-Q135)</x:f>
      </x:c>
      <x:c r="U135" s="13" t="str">
        <x:f>IF(A135="","",COUNTIFS('Attendees'!$B$6:$B$205,A135,'Attendees'!$A$6:$A$205,"&lt;&gt;"))</x:f>
      </x:c>
      <x:c r="V135" s="13" t="str">
        <x:f>IF(A135="","",COUNTIFS('Attendees'!$B$6:$B$205,A135,'Attendees'!$F$6:$F$205,"Non-alcoholic",'Attendees'!$A$6:$A$205,"&lt;&gt;"))</x:f>
      </x:c>
      <x:c r="W135" s="13" t="str">
        <x:f>IF(A135="","",COUNTIFS('Attendees'!$B$6:$B$205,A135,'Attendees'!$F$6:$F$205,"Alcohol-inclusive",'Attendees'!$A$6:$A$205,"&lt;&gt;"))</x:f>
      </x:c>
      <x:c r="X135" s="9"/>
      <x:c r="Y135" s="13" t="str">
        <x:f>IF(A135="","",IF(COUNTIFS($A$6:$A$205,A135)&gt;1,"Duplicate booking ID",IF(OR(I135&lt;1,I135&gt;'Dashboard'!$E$10,G135&lt;0,H135&lt;0,G135&lt;&gt;INT(G135),H135&lt;&gt;INT(H135)),"Use 1–5 whole passes",IF(OR(C135="",E135="",F135=""),"Complete buyer name, phone and email",IF(NOT(ISNUMBER(M135)),"Set added charges (0 if none)",IF(AND(S135&lt;&gt;"",COUNTIFS($S$6:$S$205,S135)&gt;1),"Duplicate payment ID",IF(AND(O135="Confirmed",OR(P135&lt;&gt;N135,S135="")),"Verify full payment + payment ID",IF(OR(U135&lt;&gt;I135,V135&lt;&gt;G135,W135&lt;&gt;H135),"Complete matching attendee details",""))))))))</x:f>
      </x:c>
    </x:row>
    <x:row r="136" ht="22" customHeight="1">
      <x:c r="A136" s="9"/>
      <x:c r="B136" s="18"/>
      <x:c r="C136" s="9"/>
      <x:c r="D136" s="9"/>
      <x:c r="E136" s="19"/>
      <x:c r="F136" s="19"/>
      <x:c r="G136" s="9"/>
      <x:c r="H136" s="9"/>
      <x:c r="I136" s="13" t="str">
        <x:f>IF(A136="","",SUM(G136:H136))</x:f>
      </x:c>
      <x:c r="J136" s="20" t="n">
        <x:v>2999</x:v>
      </x:c>
      <x:c r="K136" s="20" t="n">
        <x:v>3999</x:v>
      </x:c>
      <x:c r="L136" s="14" t="str">
        <x:f>IF(A136="","",G136*J136+H136*K136)</x:f>
      </x:c>
      <x:c r="M136" s="20"/>
      <x:c r="N136" s="14" t="str">
        <x:f>IF(A136="","",IF(ISNUMBER(M136),ROUND(L136+M136,2),"Set added charges"))</x:f>
      </x:c>
      <x:c r="O136" s="9"/>
      <x:c r="P136" s="20"/>
      <x:c r="Q136" s="20"/>
      <x:c r="R136" s="19"/>
      <x:c r="S136" s="19"/>
      <x:c r="T136" s="14" t="str">
        <x:f>IF(A136="","",P136-Q136)</x:f>
      </x:c>
      <x:c r="U136" s="13" t="str">
        <x:f>IF(A136="","",COUNTIFS('Attendees'!$B$6:$B$205,A136,'Attendees'!$A$6:$A$205,"&lt;&gt;"))</x:f>
      </x:c>
      <x:c r="V136" s="13" t="str">
        <x:f>IF(A136="","",COUNTIFS('Attendees'!$B$6:$B$205,A136,'Attendees'!$F$6:$F$205,"Non-alcoholic",'Attendees'!$A$6:$A$205,"&lt;&gt;"))</x:f>
      </x:c>
      <x:c r="W136" s="13" t="str">
        <x:f>IF(A136="","",COUNTIFS('Attendees'!$B$6:$B$205,A136,'Attendees'!$F$6:$F$205,"Alcohol-inclusive",'Attendees'!$A$6:$A$205,"&lt;&gt;"))</x:f>
      </x:c>
      <x:c r="X136" s="9"/>
      <x:c r="Y136" s="13" t="str">
        <x:f>IF(A136="","",IF(COUNTIFS($A$6:$A$205,A136)&gt;1,"Duplicate booking ID",IF(OR(I136&lt;1,I136&gt;'Dashboard'!$E$10,G136&lt;0,H136&lt;0,G136&lt;&gt;INT(G136),H136&lt;&gt;INT(H136)),"Use 1–5 whole passes",IF(OR(C136="",E136="",F136=""),"Complete buyer name, phone and email",IF(NOT(ISNUMBER(M136)),"Set added charges (0 if none)",IF(AND(S136&lt;&gt;"",COUNTIFS($S$6:$S$205,S136)&gt;1),"Duplicate payment ID",IF(AND(O136="Confirmed",OR(P136&lt;&gt;N136,S136="")),"Verify full payment + payment ID",IF(OR(U136&lt;&gt;I136,V136&lt;&gt;G136,W136&lt;&gt;H136),"Complete matching attendee details",""))))))))</x:f>
      </x:c>
    </x:row>
    <x:row r="137" ht="22" customHeight="1">
      <x:c r="A137" s="9"/>
      <x:c r="B137" s="18"/>
      <x:c r="C137" s="9"/>
      <x:c r="D137" s="9"/>
      <x:c r="E137" s="19"/>
      <x:c r="F137" s="19"/>
      <x:c r="G137" s="9"/>
      <x:c r="H137" s="9"/>
      <x:c r="I137" s="13" t="str">
        <x:f>IF(A137="","",SUM(G137:H137))</x:f>
      </x:c>
      <x:c r="J137" s="20" t="n">
        <x:v>2999</x:v>
      </x:c>
      <x:c r="K137" s="20" t="n">
        <x:v>3999</x:v>
      </x:c>
      <x:c r="L137" s="14" t="str">
        <x:f>IF(A137="","",G137*J137+H137*K137)</x:f>
      </x:c>
      <x:c r="M137" s="20"/>
      <x:c r="N137" s="14" t="str">
        <x:f>IF(A137="","",IF(ISNUMBER(M137),ROUND(L137+M137,2),"Set added charges"))</x:f>
      </x:c>
      <x:c r="O137" s="9"/>
      <x:c r="P137" s="20"/>
      <x:c r="Q137" s="20"/>
      <x:c r="R137" s="19"/>
      <x:c r="S137" s="19"/>
      <x:c r="T137" s="14" t="str">
        <x:f>IF(A137="","",P137-Q137)</x:f>
      </x:c>
      <x:c r="U137" s="13" t="str">
        <x:f>IF(A137="","",COUNTIFS('Attendees'!$B$6:$B$205,A137,'Attendees'!$A$6:$A$205,"&lt;&gt;"))</x:f>
      </x:c>
      <x:c r="V137" s="13" t="str">
        <x:f>IF(A137="","",COUNTIFS('Attendees'!$B$6:$B$205,A137,'Attendees'!$F$6:$F$205,"Non-alcoholic",'Attendees'!$A$6:$A$205,"&lt;&gt;"))</x:f>
      </x:c>
      <x:c r="W137" s="13" t="str">
        <x:f>IF(A137="","",COUNTIFS('Attendees'!$B$6:$B$205,A137,'Attendees'!$F$6:$F$205,"Alcohol-inclusive",'Attendees'!$A$6:$A$205,"&lt;&gt;"))</x:f>
      </x:c>
      <x:c r="X137" s="9"/>
      <x:c r="Y137" s="13" t="str">
        <x:f>IF(A137="","",IF(COUNTIFS($A$6:$A$205,A137)&gt;1,"Duplicate booking ID",IF(OR(I137&lt;1,I137&gt;'Dashboard'!$E$10,G137&lt;0,H137&lt;0,G137&lt;&gt;INT(G137),H137&lt;&gt;INT(H137)),"Use 1–5 whole passes",IF(OR(C137="",E137="",F137=""),"Complete buyer name, phone and email",IF(NOT(ISNUMBER(M137)),"Set added charges (0 if none)",IF(AND(S137&lt;&gt;"",COUNTIFS($S$6:$S$205,S137)&gt;1),"Duplicate payment ID",IF(AND(O137="Confirmed",OR(P137&lt;&gt;N137,S137="")),"Verify full payment + payment ID",IF(OR(U137&lt;&gt;I137,V137&lt;&gt;G137,W137&lt;&gt;H137),"Complete matching attendee details",""))))))))</x:f>
      </x:c>
    </x:row>
    <x:row r="138" ht="22" customHeight="1">
      <x:c r="A138" s="9"/>
      <x:c r="B138" s="18"/>
      <x:c r="C138" s="9"/>
      <x:c r="D138" s="9"/>
      <x:c r="E138" s="19"/>
      <x:c r="F138" s="19"/>
      <x:c r="G138" s="9"/>
      <x:c r="H138" s="9"/>
      <x:c r="I138" s="13" t="str">
        <x:f>IF(A138="","",SUM(G138:H138))</x:f>
      </x:c>
      <x:c r="J138" s="20" t="n">
        <x:v>2999</x:v>
      </x:c>
      <x:c r="K138" s="20" t="n">
        <x:v>3999</x:v>
      </x:c>
      <x:c r="L138" s="14" t="str">
        <x:f>IF(A138="","",G138*J138+H138*K138)</x:f>
      </x:c>
      <x:c r="M138" s="20"/>
      <x:c r="N138" s="14" t="str">
        <x:f>IF(A138="","",IF(ISNUMBER(M138),ROUND(L138+M138,2),"Set added charges"))</x:f>
      </x:c>
      <x:c r="O138" s="9"/>
      <x:c r="P138" s="20"/>
      <x:c r="Q138" s="20"/>
      <x:c r="R138" s="19"/>
      <x:c r="S138" s="19"/>
      <x:c r="T138" s="14" t="str">
        <x:f>IF(A138="","",P138-Q138)</x:f>
      </x:c>
      <x:c r="U138" s="13" t="str">
        <x:f>IF(A138="","",COUNTIFS('Attendees'!$B$6:$B$205,A138,'Attendees'!$A$6:$A$205,"&lt;&gt;"))</x:f>
      </x:c>
      <x:c r="V138" s="13" t="str">
        <x:f>IF(A138="","",COUNTIFS('Attendees'!$B$6:$B$205,A138,'Attendees'!$F$6:$F$205,"Non-alcoholic",'Attendees'!$A$6:$A$205,"&lt;&gt;"))</x:f>
      </x:c>
      <x:c r="W138" s="13" t="str">
        <x:f>IF(A138="","",COUNTIFS('Attendees'!$B$6:$B$205,A138,'Attendees'!$F$6:$F$205,"Alcohol-inclusive",'Attendees'!$A$6:$A$205,"&lt;&gt;"))</x:f>
      </x:c>
      <x:c r="X138" s="9"/>
      <x:c r="Y138" s="13" t="str">
        <x:f>IF(A138="","",IF(COUNTIFS($A$6:$A$205,A138)&gt;1,"Duplicate booking ID",IF(OR(I138&lt;1,I138&gt;'Dashboard'!$E$10,G138&lt;0,H138&lt;0,G138&lt;&gt;INT(G138),H138&lt;&gt;INT(H138)),"Use 1–5 whole passes",IF(OR(C138="",E138="",F138=""),"Complete buyer name, phone and email",IF(NOT(ISNUMBER(M138)),"Set added charges (0 if none)",IF(AND(S138&lt;&gt;"",COUNTIFS($S$6:$S$205,S138)&gt;1),"Duplicate payment ID",IF(AND(O138="Confirmed",OR(P138&lt;&gt;N138,S138="")),"Verify full payment + payment ID",IF(OR(U138&lt;&gt;I138,V138&lt;&gt;G138,W138&lt;&gt;H138),"Complete matching attendee details",""))))))))</x:f>
      </x:c>
    </x:row>
    <x:row r="139" ht="22" customHeight="1">
      <x:c r="A139" s="9"/>
      <x:c r="B139" s="18"/>
      <x:c r="C139" s="9"/>
      <x:c r="D139" s="9"/>
      <x:c r="E139" s="19"/>
      <x:c r="F139" s="19"/>
      <x:c r="G139" s="9"/>
      <x:c r="H139" s="9"/>
      <x:c r="I139" s="13" t="str">
        <x:f>IF(A139="","",SUM(G139:H139))</x:f>
      </x:c>
      <x:c r="J139" s="20" t="n">
        <x:v>2999</x:v>
      </x:c>
      <x:c r="K139" s="20" t="n">
        <x:v>3999</x:v>
      </x:c>
      <x:c r="L139" s="14" t="str">
        <x:f>IF(A139="","",G139*J139+H139*K139)</x:f>
      </x:c>
      <x:c r="M139" s="20"/>
      <x:c r="N139" s="14" t="str">
        <x:f>IF(A139="","",IF(ISNUMBER(M139),ROUND(L139+M139,2),"Set added charges"))</x:f>
      </x:c>
      <x:c r="O139" s="9"/>
      <x:c r="P139" s="20"/>
      <x:c r="Q139" s="20"/>
      <x:c r="R139" s="19"/>
      <x:c r="S139" s="19"/>
      <x:c r="T139" s="14" t="str">
        <x:f>IF(A139="","",P139-Q139)</x:f>
      </x:c>
      <x:c r="U139" s="13" t="str">
        <x:f>IF(A139="","",COUNTIFS('Attendees'!$B$6:$B$205,A139,'Attendees'!$A$6:$A$205,"&lt;&gt;"))</x:f>
      </x:c>
      <x:c r="V139" s="13" t="str">
        <x:f>IF(A139="","",COUNTIFS('Attendees'!$B$6:$B$205,A139,'Attendees'!$F$6:$F$205,"Non-alcoholic",'Attendees'!$A$6:$A$205,"&lt;&gt;"))</x:f>
      </x:c>
      <x:c r="W139" s="13" t="str">
        <x:f>IF(A139="","",COUNTIFS('Attendees'!$B$6:$B$205,A139,'Attendees'!$F$6:$F$205,"Alcohol-inclusive",'Attendees'!$A$6:$A$205,"&lt;&gt;"))</x:f>
      </x:c>
      <x:c r="X139" s="9"/>
      <x:c r="Y139" s="13" t="str">
        <x:f>IF(A139="","",IF(COUNTIFS($A$6:$A$205,A139)&gt;1,"Duplicate booking ID",IF(OR(I139&lt;1,I139&gt;'Dashboard'!$E$10,G139&lt;0,H139&lt;0,G139&lt;&gt;INT(G139),H139&lt;&gt;INT(H139)),"Use 1–5 whole passes",IF(OR(C139="",E139="",F139=""),"Complete buyer name, phone and email",IF(NOT(ISNUMBER(M139)),"Set added charges (0 if none)",IF(AND(S139&lt;&gt;"",COUNTIFS($S$6:$S$205,S139)&gt;1),"Duplicate payment ID",IF(AND(O139="Confirmed",OR(P139&lt;&gt;N139,S139="")),"Verify full payment + payment ID",IF(OR(U139&lt;&gt;I139,V139&lt;&gt;G139,W139&lt;&gt;H139),"Complete matching attendee details",""))))))))</x:f>
      </x:c>
    </x:row>
    <x:row r="140" ht="22" customHeight="1">
      <x:c r="A140" s="9"/>
      <x:c r="B140" s="18"/>
      <x:c r="C140" s="9"/>
      <x:c r="D140" s="9"/>
      <x:c r="E140" s="19"/>
      <x:c r="F140" s="19"/>
      <x:c r="G140" s="9"/>
      <x:c r="H140" s="9"/>
      <x:c r="I140" s="13" t="str">
        <x:f>IF(A140="","",SUM(G140:H140))</x:f>
      </x:c>
      <x:c r="J140" s="20" t="n">
        <x:v>2999</x:v>
      </x:c>
      <x:c r="K140" s="20" t="n">
        <x:v>3999</x:v>
      </x:c>
      <x:c r="L140" s="14" t="str">
        <x:f>IF(A140="","",G140*J140+H140*K140)</x:f>
      </x:c>
      <x:c r="M140" s="20"/>
      <x:c r="N140" s="14" t="str">
        <x:f>IF(A140="","",IF(ISNUMBER(M140),ROUND(L140+M140,2),"Set added charges"))</x:f>
      </x:c>
      <x:c r="O140" s="9"/>
      <x:c r="P140" s="20"/>
      <x:c r="Q140" s="20"/>
      <x:c r="R140" s="19"/>
      <x:c r="S140" s="19"/>
      <x:c r="T140" s="14" t="str">
        <x:f>IF(A140="","",P140-Q140)</x:f>
      </x:c>
      <x:c r="U140" s="13" t="str">
        <x:f>IF(A140="","",COUNTIFS('Attendees'!$B$6:$B$205,A140,'Attendees'!$A$6:$A$205,"&lt;&gt;"))</x:f>
      </x:c>
      <x:c r="V140" s="13" t="str">
        <x:f>IF(A140="","",COUNTIFS('Attendees'!$B$6:$B$205,A140,'Attendees'!$F$6:$F$205,"Non-alcoholic",'Attendees'!$A$6:$A$205,"&lt;&gt;"))</x:f>
      </x:c>
      <x:c r="W140" s="13" t="str">
        <x:f>IF(A140="","",COUNTIFS('Attendees'!$B$6:$B$205,A140,'Attendees'!$F$6:$F$205,"Alcohol-inclusive",'Attendees'!$A$6:$A$205,"&lt;&gt;"))</x:f>
      </x:c>
      <x:c r="X140" s="9"/>
      <x:c r="Y140" s="13" t="str">
        <x:f>IF(A140="","",IF(COUNTIFS($A$6:$A$205,A140)&gt;1,"Duplicate booking ID",IF(OR(I140&lt;1,I140&gt;'Dashboard'!$E$10,G140&lt;0,H140&lt;0,G140&lt;&gt;INT(G140),H140&lt;&gt;INT(H140)),"Use 1–5 whole passes",IF(OR(C140="",E140="",F140=""),"Complete buyer name, phone and email",IF(NOT(ISNUMBER(M140)),"Set added charges (0 if none)",IF(AND(S140&lt;&gt;"",COUNTIFS($S$6:$S$205,S140)&gt;1),"Duplicate payment ID",IF(AND(O140="Confirmed",OR(P140&lt;&gt;N140,S140="")),"Verify full payment + payment ID",IF(OR(U140&lt;&gt;I140,V140&lt;&gt;G140,W140&lt;&gt;H140),"Complete matching attendee details",""))))))))</x:f>
      </x:c>
    </x:row>
    <x:row r="141" ht="22" customHeight="1">
      <x:c r="A141" s="9"/>
      <x:c r="B141" s="18"/>
      <x:c r="C141" s="9"/>
      <x:c r="D141" s="9"/>
      <x:c r="E141" s="19"/>
      <x:c r="F141" s="19"/>
      <x:c r="G141" s="9"/>
      <x:c r="H141" s="9"/>
      <x:c r="I141" s="13" t="str">
        <x:f>IF(A141="","",SUM(G141:H141))</x:f>
      </x:c>
      <x:c r="J141" s="20" t="n">
        <x:v>2999</x:v>
      </x:c>
      <x:c r="K141" s="20" t="n">
        <x:v>3999</x:v>
      </x:c>
      <x:c r="L141" s="14" t="str">
        <x:f>IF(A141="","",G141*J141+H141*K141)</x:f>
      </x:c>
      <x:c r="M141" s="20"/>
      <x:c r="N141" s="14" t="str">
        <x:f>IF(A141="","",IF(ISNUMBER(M141),ROUND(L141+M141,2),"Set added charges"))</x:f>
      </x:c>
      <x:c r="O141" s="9"/>
      <x:c r="P141" s="20"/>
      <x:c r="Q141" s="20"/>
      <x:c r="R141" s="19"/>
      <x:c r="S141" s="19"/>
      <x:c r="T141" s="14" t="str">
        <x:f>IF(A141="","",P141-Q141)</x:f>
      </x:c>
      <x:c r="U141" s="13" t="str">
        <x:f>IF(A141="","",COUNTIFS('Attendees'!$B$6:$B$205,A141,'Attendees'!$A$6:$A$205,"&lt;&gt;"))</x:f>
      </x:c>
      <x:c r="V141" s="13" t="str">
        <x:f>IF(A141="","",COUNTIFS('Attendees'!$B$6:$B$205,A141,'Attendees'!$F$6:$F$205,"Non-alcoholic",'Attendees'!$A$6:$A$205,"&lt;&gt;"))</x:f>
      </x:c>
      <x:c r="W141" s="13" t="str">
        <x:f>IF(A141="","",COUNTIFS('Attendees'!$B$6:$B$205,A141,'Attendees'!$F$6:$F$205,"Alcohol-inclusive",'Attendees'!$A$6:$A$205,"&lt;&gt;"))</x:f>
      </x:c>
      <x:c r="X141" s="9"/>
      <x:c r="Y141" s="13" t="str">
        <x:f>IF(A141="","",IF(COUNTIFS($A$6:$A$205,A141)&gt;1,"Duplicate booking ID",IF(OR(I141&lt;1,I141&gt;'Dashboard'!$E$10,G141&lt;0,H141&lt;0,G141&lt;&gt;INT(G141),H141&lt;&gt;INT(H141)),"Use 1–5 whole passes",IF(OR(C141="",E141="",F141=""),"Complete buyer name, phone and email",IF(NOT(ISNUMBER(M141)),"Set added charges (0 if none)",IF(AND(S141&lt;&gt;"",COUNTIFS($S$6:$S$205,S141)&gt;1),"Duplicate payment ID",IF(AND(O141="Confirmed",OR(P141&lt;&gt;N141,S141="")),"Verify full payment + payment ID",IF(OR(U141&lt;&gt;I141,V141&lt;&gt;G141,W141&lt;&gt;H141),"Complete matching attendee details",""))))))))</x:f>
      </x:c>
    </x:row>
    <x:row r="142" ht="22" customHeight="1">
      <x:c r="A142" s="9"/>
      <x:c r="B142" s="18"/>
      <x:c r="C142" s="9"/>
      <x:c r="D142" s="9"/>
      <x:c r="E142" s="19"/>
      <x:c r="F142" s="19"/>
      <x:c r="G142" s="9"/>
      <x:c r="H142" s="9"/>
      <x:c r="I142" s="13" t="str">
        <x:f>IF(A142="","",SUM(G142:H142))</x:f>
      </x:c>
      <x:c r="J142" s="20" t="n">
        <x:v>2999</x:v>
      </x:c>
      <x:c r="K142" s="20" t="n">
        <x:v>3999</x:v>
      </x:c>
      <x:c r="L142" s="14" t="str">
        <x:f>IF(A142="","",G142*J142+H142*K142)</x:f>
      </x:c>
      <x:c r="M142" s="20"/>
      <x:c r="N142" s="14" t="str">
        <x:f>IF(A142="","",IF(ISNUMBER(M142),ROUND(L142+M142,2),"Set added charges"))</x:f>
      </x:c>
      <x:c r="O142" s="9"/>
      <x:c r="P142" s="20"/>
      <x:c r="Q142" s="20"/>
      <x:c r="R142" s="19"/>
      <x:c r="S142" s="19"/>
      <x:c r="T142" s="14" t="str">
        <x:f>IF(A142="","",P142-Q142)</x:f>
      </x:c>
      <x:c r="U142" s="13" t="str">
        <x:f>IF(A142="","",COUNTIFS('Attendees'!$B$6:$B$205,A142,'Attendees'!$A$6:$A$205,"&lt;&gt;"))</x:f>
      </x:c>
      <x:c r="V142" s="13" t="str">
        <x:f>IF(A142="","",COUNTIFS('Attendees'!$B$6:$B$205,A142,'Attendees'!$F$6:$F$205,"Non-alcoholic",'Attendees'!$A$6:$A$205,"&lt;&gt;"))</x:f>
      </x:c>
      <x:c r="W142" s="13" t="str">
        <x:f>IF(A142="","",COUNTIFS('Attendees'!$B$6:$B$205,A142,'Attendees'!$F$6:$F$205,"Alcohol-inclusive",'Attendees'!$A$6:$A$205,"&lt;&gt;"))</x:f>
      </x:c>
      <x:c r="X142" s="9"/>
      <x:c r="Y142" s="13" t="str">
        <x:f>IF(A142="","",IF(COUNTIFS($A$6:$A$205,A142)&gt;1,"Duplicate booking ID",IF(OR(I142&lt;1,I142&gt;'Dashboard'!$E$10,G142&lt;0,H142&lt;0,G142&lt;&gt;INT(G142),H142&lt;&gt;INT(H142)),"Use 1–5 whole passes",IF(OR(C142="",E142="",F142=""),"Complete buyer name, phone and email",IF(NOT(ISNUMBER(M142)),"Set added charges (0 if none)",IF(AND(S142&lt;&gt;"",COUNTIFS($S$6:$S$205,S142)&gt;1),"Duplicate payment ID",IF(AND(O142="Confirmed",OR(P142&lt;&gt;N142,S142="")),"Verify full payment + payment ID",IF(OR(U142&lt;&gt;I142,V142&lt;&gt;G142,W142&lt;&gt;H142),"Complete matching attendee details",""))))))))</x:f>
      </x:c>
    </x:row>
    <x:row r="143" ht="22" customHeight="1">
      <x:c r="A143" s="9"/>
      <x:c r="B143" s="18"/>
      <x:c r="C143" s="9"/>
      <x:c r="D143" s="9"/>
      <x:c r="E143" s="19"/>
      <x:c r="F143" s="19"/>
      <x:c r="G143" s="9"/>
      <x:c r="H143" s="9"/>
      <x:c r="I143" s="13" t="str">
        <x:f>IF(A143="","",SUM(G143:H143))</x:f>
      </x:c>
      <x:c r="J143" s="20" t="n">
        <x:v>2999</x:v>
      </x:c>
      <x:c r="K143" s="20" t="n">
        <x:v>3999</x:v>
      </x:c>
      <x:c r="L143" s="14" t="str">
        <x:f>IF(A143="","",G143*J143+H143*K143)</x:f>
      </x:c>
      <x:c r="M143" s="20"/>
      <x:c r="N143" s="14" t="str">
        <x:f>IF(A143="","",IF(ISNUMBER(M143),ROUND(L143+M143,2),"Set added charges"))</x:f>
      </x:c>
      <x:c r="O143" s="9"/>
      <x:c r="P143" s="20"/>
      <x:c r="Q143" s="20"/>
      <x:c r="R143" s="19"/>
      <x:c r="S143" s="19"/>
      <x:c r="T143" s="14" t="str">
        <x:f>IF(A143="","",P143-Q143)</x:f>
      </x:c>
      <x:c r="U143" s="13" t="str">
        <x:f>IF(A143="","",COUNTIFS('Attendees'!$B$6:$B$205,A143,'Attendees'!$A$6:$A$205,"&lt;&gt;"))</x:f>
      </x:c>
      <x:c r="V143" s="13" t="str">
        <x:f>IF(A143="","",COUNTIFS('Attendees'!$B$6:$B$205,A143,'Attendees'!$F$6:$F$205,"Non-alcoholic",'Attendees'!$A$6:$A$205,"&lt;&gt;"))</x:f>
      </x:c>
      <x:c r="W143" s="13" t="str">
        <x:f>IF(A143="","",COUNTIFS('Attendees'!$B$6:$B$205,A143,'Attendees'!$F$6:$F$205,"Alcohol-inclusive",'Attendees'!$A$6:$A$205,"&lt;&gt;"))</x:f>
      </x:c>
      <x:c r="X143" s="9"/>
      <x:c r="Y143" s="13" t="str">
        <x:f>IF(A143="","",IF(COUNTIFS($A$6:$A$205,A143)&gt;1,"Duplicate booking ID",IF(OR(I143&lt;1,I143&gt;'Dashboard'!$E$10,G143&lt;0,H143&lt;0,G143&lt;&gt;INT(G143),H143&lt;&gt;INT(H143)),"Use 1–5 whole passes",IF(OR(C143="",E143="",F143=""),"Complete buyer name, phone and email",IF(NOT(ISNUMBER(M143)),"Set added charges (0 if none)",IF(AND(S143&lt;&gt;"",COUNTIFS($S$6:$S$205,S143)&gt;1),"Duplicate payment ID",IF(AND(O143="Confirmed",OR(P143&lt;&gt;N143,S143="")),"Verify full payment + payment ID",IF(OR(U143&lt;&gt;I143,V143&lt;&gt;G143,W143&lt;&gt;H143),"Complete matching attendee details",""))))))))</x:f>
      </x:c>
    </x:row>
    <x:row r="144" ht="22" customHeight="1">
      <x:c r="A144" s="9"/>
      <x:c r="B144" s="18"/>
      <x:c r="C144" s="9"/>
      <x:c r="D144" s="9"/>
      <x:c r="E144" s="19"/>
      <x:c r="F144" s="19"/>
      <x:c r="G144" s="9"/>
      <x:c r="H144" s="9"/>
      <x:c r="I144" s="13" t="str">
        <x:f>IF(A144="","",SUM(G144:H144))</x:f>
      </x:c>
      <x:c r="J144" s="20" t="n">
        <x:v>2999</x:v>
      </x:c>
      <x:c r="K144" s="20" t="n">
        <x:v>3999</x:v>
      </x:c>
      <x:c r="L144" s="14" t="str">
        <x:f>IF(A144="","",G144*J144+H144*K144)</x:f>
      </x:c>
      <x:c r="M144" s="20"/>
      <x:c r="N144" s="14" t="str">
        <x:f>IF(A144="","",IF(ISNUMBER(M144),ROUND(L144+M144,2),"Set added charges"))</x:f>
      </x:c>
      <x:c r="O144" s="9"/>
      <x:c r="P144" s="20"/>
      <x:c r="Q144" s="20"/>
      <x:c r="R144" s="19"/>
      <x:c r="S144" s="19"/>
      <x:c r="T144" s="14" t="str">
        <x:f>IF(A144="","",P144-Q144)</x:f>
      </x:c>
      <x:c r="U144" s="13" t="str">
        <x:f>IF(A144="","",COUNTIFS('Attendees'!$B$6:$B$205,A144,'Attendees'!$A$6:$A$205,"&lt;&gt;"))</x:f>
      </x:c>
      <x:c r="V144" s="13" t="str">
        <x:f>IF(A144="","",COUNTIFS('Attendees'!$B$6:$B$205,A144,'Attendees'!$F$6:$F$205,"Non-alcoholic",'Attendees'!$A$6:$A$205,"&lt;&gt;"))</x:f>
      </x:c>
      <x:c r="W144" s="13" t="str">
        <x:f>IF(A144="","",COUNTIFS('Attendees'!$B$6:$B$205,A144,'Attendees'!$F$6:$F$205,"Alcohol-inclusive",'Attendees'!$A$6:$A$205,"&lt;&gt;"))</x:f>
      </x:c>
      <x:c r="X144" s="9"/>
      <x:c r="Y144" s="13" t="str">
        <x:f>IF(A144="","",IF(COUNTIFS($A$6:$A$205,A144)&gt;1,"Duplicate booking ID",IF(OR(I144&lt;1,I144&gt;'Dashboard'!$E$10,G144&lt;0,H144&lt;0,G144&lt;&gt;INT(G144),H144&lt;&gt;INT(H144)),"Use 1–5 whole passes",IF(OR(C144="",E144="",F144=""),"Complete buyer name, phone and email",IF(NOT(ISNUMBER(M144)),"Set added charges (0 if none)",IF(AND(S144&lt;&gt;"",COUNTIFS($S$6:$S$205,S144)&gt;1),"Duplicate payment ID",IF(AND(O144="Confirmed",OR(P144&lt;&gt;N144,S144="")),"Verify full payment + payment ID",IF(OR(U144&lt;&gt;I144,V144&lt;&gt;G144,W144&lt;&gt;H144),"Complete matching attendee details",""))))))))</x:f>
      </x:c>
    </x:row>
    <x:row r="145" ht="22" customHeight="1">
      <x:c r="A145" s="9"/>
      <x:c r="B145" s="18"/>
      <x:c r="C145" s="9"/>
      <x:c r="D145" s="9"/>
      <x:c r="E145" s="19"/>
      <x:c r="F145" s="19"/>
      <x:c r="G145" s="9"/>
      <x:c r="H145" s="9"/>
      <x:c r="I145" s="13" t="str">
        <x:f>IF(A145="","",SUM(G145:H145))</x:f>
      </x:c>
      <x:c r="J145" s="20" t="n">
        <x:v>2999</x:v>
      </x:c>
      <x:c r="K145" s="20" t="n">
        <x:v>3999</x:v>
      </x:c>
      <x:c r="L145" s="14" t="str">
        <x:f>IF(A145="","",G145*J145+H145*K145)</x:f>
      </x:c>
      <x:c r="M145" s="20"/>
      <x:c r="N145" s="14" t="str">
        <x:f>IF(A145="","",IF(ISNUMBER(M145),ROUND(L145+M145,2),"Set added charges"))</x:f>
      </x:c>
      <x:c r="O145" s="9"/>
      <x:c r="P145" s="20"/>
      <x:c r="Q145" s="20"/>
      <x:c r="R145" s="19"/>
      <x:c r="S145" s="19"/>
      <x:c r="T145" s="14" t="str">
        <x:f>IF(A145="","",P145-Q145)</x:f>
      </x:c>
      <x:c r="U145" s="13" t="str">
        <x:f>IF(A145="","",COUNTIFS('Attendees'!$B$6:$B$205,A145,'Attendees'!$A$6:$A$205,"&lt;&gt;"))</x:f>
      </x:c>
      <x:c r="V145" s="13" t="str">
        <x:f>IF(A145="","",COUNTIFS('Attendees'!$B$6:$B$205,A145,'Attendees'!$F$6:$F$205,"Non-alcoholic",'Attendees'!$A$6:$A$205,"&lt;&gt;"))</x:f>
      </x:c>
      <x:c r="W145" s="13" t="str">
        <x:f>IF(A145="","",COUNTIFS('Attendees'!$B$6:$B$205,A145,'Attendees'!$F$6:$F$205,"Alcohol-inclusive",'Attendees'!$A$6:$A$205,"&lt;&gt;"))</x:f>
      </x:c>
      <x:c r="X145" s="9"/>
      <x:c r="Y145" s="13" t="str">
        <x:f>IF(A145="","",IF(COUNTIFS($A$6:$A$205,A145)&gt;1,"Duplicate booking ID",IF(OR(I145&lt;1,I145&gt;'Dashboard'!$E$10,G145&lt;0,H145&lt;0,G145&lt;&gt;INT(G145),H145&lt;&gt;INT(H145)),"Use 1–5 whole passes",IF(OR(C145="",E145="",F145=""),"Complete buyer name, phone and email",IF(NOT(ISNUMBER(M145)),"Set added charges (0 if none)",IF(AND(S145&lt;&gt;"",COUNTIFS($S$6:$S$205,S145)&gt;1),"Duplicate payment ID",IF(AND(O145="Confirmed",OR(P145&lt;&gt;N145,S145="")),"Verify full payment + payment ID",IF(OR(U145&lt;&gt;I145,V145&lt;&gt;G145,W145&lt;&gt;H145),"Complete matching attendee details",""))))))))</x:f>
      </x:c>
    </x:row>
    <x:row r="146" ht="22" customHeight="1">
      <x:c r="A146" s="9"/>
      <x:c r="B146" s="18"/>
      <x:c r="C146" s="9"/>
      <x:c r="D146" s="9"/>
      <x:c r="E146" s="19"/>
      <x:c r="F146" s="19"/>
      <x:c r="G146" s="9"/>
      <x:c r="H146" s="9"/>
      <x:c r="I146" s="13" t="str">
        <x:f>IF(A146="","",SUM(G146:H146))</x:f>
      </x:c>
      <x:c r="J146" s="20" t="n">
        <x:v>2999</x:v>
      </x:c>
      <x:c r="K146" s="20" t="n">
        <x:v>3999</x:v>
      </x:c>
      <x:c r="L146" s="14" t="str">
        <x:f>IF(A146="","",G146*J146+H146*K146)</x:f>
      </x:c>
      <x:c r="M146" s="20"/>
      <x:c r="N146" s="14" t="str">
        <x:f>IF(A146="","",IF(ISNUMBER(M146),ROUND(L146+M146,2),"Set added charges"))</x:f>
      </x:c>
      <x:c r="O146" s="9"/>
      <x:c r="P146" s="20"/>
      <x:c r="Q146" s="20"/>
      <x:c r="R146" s="19"/>
      <x:c r="S146" s="19"/>
      <x:c r="T146" s="14" t="str">
        <x:f>IF(A146="","",P146-Q146)</x:f>
      </x:c>
      <x:c r="U146" s="13" t="str">
        <x:f>IF(A146="","",COUNTIFS('Attendees'!$B$6:$B$205,A146,'Attendees'!$A$6:$A$205,"&lt;&gt;"))</x:f>
      </x:c>
      <x:c r="V146" s="13" t="str">
        <x:f>IF(A146="","",COUNTIFS('Attendees'!$B$6:$B$205,A146,'Attendees'!$F$6:$F$205,"Non-alcoholic",'Attendees'!$A$6:$A$205,"&lt;&gt;"))</x:f>
      </x:c>
      <x:c r="W146" s="13" t="str">
        <x:f>IF(A146="","",COUNTIFS('Attendees'!$B$6:$B$205,A146,'Attendees'!$F$6:$F$205,"Alcohol-inclusive",'Attendees'!$A$6:$A$205,"&lt;&gt;"))</x:f>
      </x:c>
      <x:c r="X146" s="9"/>
      <x:c r="Y146" s="13" t="str">
        <x:f>IF(A146="","",IF(COUNTIFS($A$6:$A$205,A146)&gt;1,"Duplicate booking ID",IF(OR(I146&lt;1,I146&gt;'Dashboard'!$E$10,G146&lt;0,H146&lt;0,G146&lt;&gt;INT(G146),H146&lt;&gt;INT(H146)),"Use 1–5 whole passes",IF(OR(C146="",E146="",F146=""),"Complete buyer name, phone and email",IF(NOT(ISNUMBER(M146)),"Set added charges (0 if none)",IF(AND(S146&lt;&gt;"",COUNTIFS($S$6:$S$205,S146)&gt;1),"Duplicate payment ID",IF(AND(O146="Confirmed",OR(P146&lt;&gt;N146,S146="")),"Verify full payment + payment ID",IF(OR(U146&lt;&gt;I146,V146&lt;&gt;G146,W146&lt;&gt;H146),"Complete matching attendee details",""))))))))</x:f>
      </x:c>
    </x:row>
    <x:row r="147" ht="22" customHeight="1">
      <x:c r="A147" s="9"/>
      <x:c r="B147" s="18"/>
      <x:c r="C147" s="9"/>
      <x:c r="D147" s="9"/>
      <x:c r="E147" s="19"/>
      <x:c r="F147" s="19"/>
      <x:c r="G147" s="9"/>
      <x:c r="H147" s="9"/>
      <x:c r="I147" s="13" t="str">
        <x:f>IF(A147="","",SUM(G147:H147))</x:f>
      </x:c>
      <x:c r="J147" s="20" t="n">
        <x:v>2999</x:v>
      </x:c>
      <x:c r="K147" s="20" t="n">
        <x:v>3999</x:v>
      </x:c>
      <x:c r="L147" s="14" t="str">
        <x:f>IF(A147="","",G147*J147+H147*K147)</x:f>
      </x:c>
      <x:c r="M147" s="20"/>
      <x:c r="N147" s="14" t="str">
        <x:f>IF(A147="","",IF(ISNUMBER(M147),ROUND(L147+M147,2),"Set added charges"))</x:f>
      </x:c>
      <x:c r="O147" s="9"/>
      <x:c r="P147" s="20"/>
      <x:c r="Q147" s="20"/>
      <x:c r="R147" s="19"/>
      <x:c r="S147" s="19"/>
      <x:c r="T147" s="14" t="str">
        <x:f>IF(A147="","",P147-Q147)</x:f>
      </x:c>
      <x:c r="U147" s="13" t="str">
        <x:f>IF(A147="","",COUNTIFS('Attendees'!$B$6:$B$205,A147,'Attendees'!$A$6:$A$205,"&lt;&gt;"))</x:f>
      </x:c>
      <x:c r="V147" s="13" t="str">
        <x:f>IF(A147="","",COUNTIFS('Attendees'!$B$6:$B$205,A147,'Attendees'!$F$6:$F$205,"Non-alcoholic",'Attendees'!$A$6:$A$205,"&lt;&gt;"))</x:f>
      </x:c>
      <x:c r="W147" s="13" t="str">
        <x:f>IF(A147="","",COUNTIFS('Attendees'!$B$6:$B$205,A147,'Attendees'!$F$6:$F$205,"Alcohol-inclusive",'Attendees'!$A$6:$A$205,"&lt;&gt;"))</x:f>
      </x:c>
      <x:c r="X147" s="9"/>
      <x:c r="Y147" s="13" t="str">
        <x:f>IF(A147="","",IF(COUNTIFS($A$6:$A$205,A147)&gt;1,"Duplicate booking ID",IF(OR(I147&lt;1,I147&gt;'Dashboard'!$E$10,G147&lt;0,H147&lt;0,G147&lt;&gt;INT(G147),H147&lt;&gt;INT(H147)),"Use 1–5 whole passes",IF(OR(C147="",E147="",F147=""),"Complete buyer name, phone and email",IF(NOT(ISNUMBER(M147)),"Set added charges (0 if none)",IF(AND(S147&lt;&gt;"",COUNTIFS($S$6:$S$205,S147)&gt;1),"Duplicate payment ID",IF(AND(O147="Confirmed",OR(P147&lt;&gt;N147,S147="")),"Verify full payment + payment ID",IF(OR(U147&lt;&gt;I147,V147&lt;&gt;G147,W147&lt;&gt;H147),"Complete matching attendee details",""))))))))</x:f>
      </x:c>
    </x:row>
    <x:row r="148" ht="22" customHeight="1">
      <x:c r="A148" s="9"/>
      <x:c r="B148" s="18"/>
      <x:c r="C148" s="9"/>
      <x:c r="D148" s="9"/>
      <x:c r="E148" s="19"/>
      <x:c r="F148" s="19"/>
      <x:c r="G148" s="9"/>
      <x:c r="H148" s="9"/>
      <x:c r="I148" s="13" t="str">
        <x:f>IF(A148="","",SUM(G148:H148))</x:f>
      </x:c>
      <x:c r="J148" s="20" t="n">
        <x:v>2999</x:v>
      </x:c>
      <x:c r="K148" s="20" t="n">
        <x:v>3999</x:v>
      </x:c>
      <x:c r="L148" s="14" t="str">
        <x:f>IF(A148="","",G148*J148+H148*K148)</x:f>
      </x:c>
      <x:c r="M148" s="20"/>
      <x:c r="N148" s="14" t="str">
        <x:f>IF(A148="","",IF(ISNUMBER(M148),ROUND(L148+M148,2),"Set added charges"))</x:f>
      </x:c>
      <x:c r="O148" s="9"/>
      <x:c r="P148" s="20"/>
      <x:c r="Q148" s="20"/>
      <x:c r="R148" s="19"/>
      <x:c r="S148" s="19"/>
      <x:c r="T148" s="14" t="str">
        <x:f>IF(A148="","",P148-Q148)</x:f>
      </x:c>
      <x:c r="U148" s="13" t="str">
        <x:f>IF(A148="","",COUNTIFS('Attendees'!$B$6:$B$205,A148,'Attendees'!$A$6:$A$205,"&lt;&gt;"))</x:f>
      </x:c>
      <x:c r="V148" s="13" t="str">
        <x:f>IF(A148="","",COUNTIFS('Attendees'!$B$6:$B$205,A148,'Attendees'!$F$6:$F$205,"Non-alcoholic",'Attendees'!$A$6:$A$205,"&lt;&gt;"))</x:f>
      </x:c>
      <x:c r="W148" s="13" t="str">
        <x:f>IF(A148="","",COUNTIFS('Attendees'!$B$6:$B$205,A148,'Attendees'!$F$6:$F$205,"Alcohol-inclusive",'Attendees'!$A$6:$A$205,"&lt;&gt;"))</x:f>
      </x:c>
      <x:c r="X148" s="9"/>
      <x:c r="Y148" s="13" t="str">
        <x:f>IF(A148="","",IF(COUNTIFS($A$6:$A$205,A148)&gt;1,"Duplicate booking ID",IF(OR(I148&lt;1,I148&gt;'Dashboard'!$E$10,G148&lt;0,H148&lt;0,G148&lt;&gt;INT(G148),H148&lt;&gt;INT(H148)),"Use 1–5 whole passes",IF(OR(C148="",E148="",F148=""),"Complete buyer name, phone and email",IF(NOT(ISNUMBER(M148)),"Set added charges (0 if none)",IF(AND(S148&lt;&gt;"",COUNTIFS($S$6:$S$205,S148)&gt;1),"Duplicate payment ID",IF(AND(O148="Confirmed",OR(P148&lt;&gt;N148,S148="")),"Verify full payment + payment ID",IF(OR(U148&lt;&gt;I148,V148&lt;&gt;G148,W148&lt;&gt;H148),"Complete matching attendee details",""))))))))</x:f>
      </x:c>
    </x:row>
    <x:row r="149" ht="22" customHeight="1">
      <x:c r="A149" s="9"/>
      <x:c r="B149" s="18"/>
      <x:c r="C149" s="9"/>
      <x:c r="D149" s="9"/>
      <x:c r="E149" s="19"/>
      <x:c r="F149" s="19"/>
      <x:c r="G149" s="9"/>
      <x:c r="H149" s="9"/>
      <x:c r="I149" s="13" t="str">
        <x:f>IF(A149="","",SUM(G149:H149))</x:f>
      </x:c>
      <x:c r="J149" s="20" t="n">
        <x:v>2999</x:v>
      </x:c>
      <x:c r="K149" s="20" t="n">
        <x:v>3999</x:v>
      </x:c>
      <x:c r="L149" s="14" t="str">
        <x:f>IF(A149="","",G149*J149+H149*K149)</x:f>
      </x:c>
      <x:c r="M149" s="20"/>
      <x:c r="N149" s="14" t="str">
        <x:f>IF(A149="","",IF(ISNUMBER(M149),ROUND(L149+M149,2),"Set added charges"))</x:f>
      </x:c>
      <x:c r="O149" s="9"/>
      <x:c r="P149" s="20"/>
      <x:c r="Q149" s="20"/>
      <x:c r="R149" s="19"/>
      <x:c r="S149" s="19"/>
      <x:c r="T149" s="14" t="str">
        <x:f>IF(A149="","",P149-Q149)</x:f>
      </x:c>
      <x:c r="U149" s="13" t="str">
        <x:f>IF(A149="","",COUNTIFS('Attendees'!$B$6:$B$205,A149,'Attendees'!$A$6:$A$205,"&lt;&gt;"))</x:f>
      </x:c>
      <x:c r="V149" s="13" t="str">
        <x:f>IF(A149="","",COUNTIFS('Attendees'!$B$6:$B$205,A149,'Attendees'!$F$6:$F$205,"Non-alcoholic",'Attendees'!$A$6:$A$205,"&lt;&gt;"))</x:f>
      </x:c>
      <x:c r="W149" s="13" t="str">
        <x:f>IF(A149="","",COUNTIFS('Attendees'!$B$6:$B$205,A149,'Attendees'!$F$6:$F$205,"Alcohol-inclusive",'Attendees'!$A$6:$A$205,"&lt;&gt;"))</x:f>
      </x:c>
      <x:c r="X149" s="9"/>
      <x:c r="Y149" s="13" t="str">
        <x:f>IF(A149="","",IF(COUNTIFS($A$6:$A$205,A149)&gt;1,"Duplicate booking ID",IF(OR(I149&lt;1,I149&gt;'Dashboard'!$E$10,G149&lt;0,H149&lt;0,G149&lt;&gt;INT(G149),H149&lt;&gt;INT(H149)),"Use 1–5 whole passes",IF(OR(C149="",E149="",F149=""),"Complete buyer name, phone and email",IF(NOT(ISNUMBER(M149)),"Set added charges (0 if none)",IF(AND(S149&lt;&gt;"",COUNTIFS($S$6:$S$205,S149)&gt;1),"Duplicate payment ID",IF(AND(O149="Confirmed",OR(P149&lt;&gt;N149,S149="")),"Verify full payment + payment ID",IF(OR(U149&lt;&gt;I149,V149&lt;&gt;G149,W149&lt;&gt;H149),"Complete matching attendee details",""))))))))</x:f>
      </x:c>
    </x:row>
    <x:row r="150" ht="22" customHeight="1">
      <x:c r="A150" s="9"/>
      <x:c r="B150" s="18"/>
      <x:c r="C150" s="9"/>
      <x:c r="D150" s="9"/>
      <x:c r="E150" s="19"/>
      <x:c r="F150" s="19"/>
      <x:c r="G150" s="9"/>
      <x:c r="H150" s="9"/>
      <x:c r="I150" s="13" t="str">
        <x:f>IF(A150="","",SUM(G150:H150))</x:f>
      </x:c>
      <x:c r="J150" s="20" t="n">
        <x:v>2999</x:v>
      </x:c>
      <x:c r="K150" s="20" t="n">
        <x:v>3999</x:v>
      </x:c>
      <x:c r="L150" s="14" t="str">
        <x:f>IF(A150="","",G150*J150+H150*K150)</x:f>
      </x:c>
      <x:c r="M150" s="20"/>
      <x:c r="N150" s="14" t="str">
        <x:f>IF(A150="","",IF(ISNUMBER(M150),ROUND(L150+M150,2),"Set added charges"))</x:f>
      </x:c>
      <x:c r="O150" s="9"/>
      <x:c r="P150" s="20"/>
      <x:c r="Q150" s="20"/>
      <x:c r="R150" s="19"/>
      <x:c r="S150" s="19"/>
      <x:c r="T150" s="14" t="str">
        <x:f>IF(A150="","",P150-Q150)</x:f>
      </x:c>
      <x:c r="U150" s="13" t="str">
        <x:f>IF(A150="","",COUNTIFS('Attendees'!$B$6:$B$205,A150,'Attendees'!$A$6:$A$205,"&lt;&gt;"))</x:f>
      </x:c>
      <x:c r="V150" s="13" t="str">
        <x:f>IF(A150="","",COUNTIFS('Attendees'!$B$6:$B$205,A150,'Attendees'!$F$6:$F$205,"Non-alcoholic",'Attendees'!$A$6:$A$205,"&lt;&gt;"))</x:f>
      </x:c>
      <x:c r="W150" s="13" t="str">
        <x:f>IF(A150="","",COUNTIFS('Attendees'!$B$6:$B$205,A150,'Attendees'!$F$6:$F$205,"Alcohol-inclusive",'Attendees'!$A$6:$A$205,"&lt;&gt;"))</x:f>
      </x:c>
      <x:c r="X150" s="9"/>
      <x:c r="Y150" s="13" t="str">
        <x:f>IF(A150="","",IF(COUNTIFS($A$6:$A$205,A150)&gt;1,"Duplicate booking ID",IF(OR(I150&lt;1,I150&gt;'Dashboard'!$E$10,G150&lt;0,H150&lt;0,G150&lt;&gt;INT(G150),H150&lt;&gt;INT(H150)),"Use 1–5 whole passes",IF(OR(C150="",E150="",F150=""),"Complete buyer name, phone and email",IF(NOT(ISNUMBER(M150)),"Set added charges (0 if none)",IF(AND(S150&lt;&gt;"",COUNTIFS($S$6:$S$205,S150)&gt;1),"Duplicate payment ID",IF(AND(O150="Confirmed",OR(P150&lt;&gt;N150,S150="")),"Verify full payment + payment ID",IF(OR(U150&lt;&gt;I150,V150&lt;&gt;G150,W150&lt;&gt;H150),"Complete matching attendee details",""))))))))</x:f>
      </x:c>
    </x:row>
    <x:row r="151" ht="22" customHeight="1">
      <x:c r="A151" s="9"/>
      <x:c r="B151" s="18"/>
      <x:c r="C151" s="9"/>
      <x:c r="D151" s="9"/>
      <x:c r="E151" s="19"/>
      <x:c r="F151" s="19"/>
      <x:c r="G151" s="9"/>
      <x:c r="H151" s="9"/>
      <x:c r="I151" s="13" t="str">
        <x:f>IF(A151="","",SUM(G151:H151))</x:f>
      </x:c>
      <x:c r="J151" s="20" t="n">
        <x:v>2999</x:v>
      </x:c>
      <x:c r="K151" s="20" t="n">
        <x:v>3999</x:v>
      </x:c>
      <x:c r="L151" s="14" t="str">
        <x:f>IF(A151="","",G151*J151+H151*K151)</x:f>
      </x:c>
      <x:c r="M151" s="20"/>
      <x:c r="N151" s="14" t="str">
        <x:f>IF(A151="","",IF(ISNUMBER(M151),ROUND(L151+M151,2),"Set added charges"))</x:f>
      </x:c>
      <x:c r="O151" s="9"/>
      <x:c r="P151" s="20"/>
      <x:c r="Q151" s="20"/>
      <x:c r="R151" s="19"/>
      <x:c r="S151" s="19"/>
      <x:c r="T151" s="14" t="str">
        <x:f>IF(A151="","",P151-Q151)</x:f>
      </x:c>
      <x:c r="U151" s="13" t="str">
        <x:f>IF(A151="","",COUNTIFS('Attendees'!$B$6:$B$205,A151,'Attendees'!$A$6:$A$205,"&lt;&gt;"))</x:f>
      </x:c>
      <x:c r="V151" s="13" t="str">
        <x:f>IF(A151="","",COUNTIFS('Attendees'!$B$6:$B$205,A151,'Attendees'!$F$6:$F$205,"Non-alcoholic",'Attendees'!$A$6:$A$205,"&lt;&gt;"))</x:f>
      </x:c>
      <x:c r="W151" s="13" t="str">
        <x:f>IF(A151="","",COUNTIFS('Attendees'!$B$6:$B$205,A151,'Attendees'!$F$6:$F$205,"Alcohol-inclusive",'Attendees'!$A$6:$A$205,"&lt;&gt;"))</x:f>
      </x:c>
      <x:c r="X151" s="9"/>
      <x:c r="Y151" s="13" t="str">
        <x:f>IF(A151="","",IF(COUNTIFS($A$6:$A$205,A151)&gt;1,"Duplicate booking ID",IF(OR(I151&lt;1,I151&gt;'Dashboard'!$E$10,G151&lt;0,H151&lt;0,G151&lt;&gt;INT(G151),H151&lt;&gt;INT(H151)),"Use 1–5 whole passes",IF(OR(C151="",E151="",F151=""),"Complete buyer name, phone and email",IF(NOT(ISNUMBER(M151)),"Set added charges (0 if none)",IF(AND(S151&lt;&gt;"",COUNTIFS($S$6:$S$205,S151)&gt;1),"Duplicate payment ID",IF(AND(O151="Confirmed",OR(P151&lt;&gt;N151,S151="")),"Verify full payment + payment ID",IF(OR(U151&lt;&gt;I151,V151&lt;&gt;G151,W151&lt;&gt;H151),"Complete matching attendee details",""))))))))</x:f>
      </x:c>
    </x:row>
    <x:row r="152" ht="22" customHeight="1">
      <x:c r="A152" s="9"/>
      <x:c r="B152" s="18"/>
      <x:c r="C152" s="9"/>
      <x:c r="D152" s="9"/>
      <x:c r="E152" s="19"/>
      <x:c r="F152" s="19"/>
      <x:c r="G152" s="9"/>
      <x:c r="H152" s="9"/>
      <x:c r="I152" s="13" t="str">
        <x:f>IF(A152="","",SUM(G152:H152))</x:f>
      </x:c>
      <x:c r="J152" s="20" t="n">
        <x:v>2999</x:v>
      </x:c>
      <x:c r="K152" s="20" t="n">
        <x:v>3999</x:v>
      </x:c>
      <x:c r="L152" s="14" t="str">
        <x:f>IF(A152="","",G152*J152+H152*K152)</x:f>
      </x:c>
      <x:c r="M152" s="20"/>
      <x:c r="N152" s="14" t="str">
        <x:f>IF(A152="","",IF(ISNUMBER(M152),ROUND(L152+M152,2),"Set added charges"))</x:f>
      </x:c>
      <x:c r="O152" s="9"/>
      <x:c r="P152" s="20"/>
      <x:c r="Q152" s="20"/>
      <x:c r="R152" s="19"/>
      <x:c r="S152" s="19"/>
      <x:c r="T152" s="14" t="str">
        <x:f>IF(A152="","",P152-Q152)</x:f>
      </x:c>
      <x:c r="U152" s="13" t="str">
        <x:f>IF(A152="","",COUNTIFS('Attendees'!$B$6:$B$205,A152,'Attendees'!$A$6:$A$205,"&lt;&gt;"))</x:f>
      </x:c>
      <x:c r="V152" s="13" t="str">
        <x:f>IF(A152="","",COUNTIFS('Attendees'!$B$6:$B$205,A152,'Attendees'!$F$6:$F$205,"Non-alcoholic",'Attendees'!$A$6:$A$205,"&lt;&gt;"))</x:f>
      </x:c>
      <x:c r="W152" s="13" t="str">
        <x:f>IF(A152="","",COUNTIFS('Attendees'!$B$6:$B$205,A152,'Attendees'!$F$6:$F$205,"Alcohol-inclusive",'Attendees'!$A$6:$A$205,"&lt;&gt;"))</x:f>
      </x:c>
      <x:c r="X152" s="9"/>
      <x:c r="Y152" s="13" t="str">
        <x:f>IF(A152="","",IF(COUNTIFS($A$6:$A$205,A152)&gt;1,"Duplicate booking ID",IF(OR(I152&lt;1,I152&gt;'Dashboard'!$E$10,G152&lt;0,H152&lt;0,G152&lt;&gt;INT(G152),H152&lt;&gt;INT(H152)),"Use 1–5 whole passes",IF(OR(C152="",E152="",F152=""),"Complete buyer name, phone and email",IF(NOT(ISNUMBER(M152)),"Set added charges (0 if none)",IF(AND(S152&lt;&gt;"",COUNTIFS($S$6:$S$205,S152)&gt;1),"Duplicate payment ID",IF(AND(O152="Confirmed",OR(P152&lt;&gt;N152,S152="")),"Verify full payment + payment ID",IF(OR(U152&lt;&gt;I152,V152&lt;&gt;G152,W152&lt;&gt;H152),"Complete matching attendee details",""))))))))</x:f>
      </x:c>
    </x:row>
    <x:row r="153" ht="22" customHeight="1">
      <x:c r="A153" s="9"/>
      <x:c r="B153" s="18"/>
      <x:c r="C153" s="9"/>
      <x:c r="D153" s="9"/>
      <x:c r="E153" s="19"/>
      <x:c r="F153" s="19"/>
      <x:c r="G153" s="9"/>
      <x:c r="H153" s="9"/>
      <x:c r="I153" s="13" t="str">
        <x:f>IF(A153="","",SUM(G153:H153))</x:f>
      </x:c>
      <x:c r="J153" s="20" t="n">
        <x:v>2999</x:v>
      </x:c>
      <x:c r="K153" s="20" t="n">
        <x:v>3999</x:v>
      </x:c>
      <x:c r="L153" s="14" t="str">
        <x:f>IF(A153="","",G153*J153+H153*K153)</x:f>
      </x:c>
      <x:c r="M153" s="20"/>
      <x:c r="N153" s="14" t="str">
        <x:f>IF(A153="","",IF(ISNUMBER(M153),ROUND(L153+M153,2),"Set added charges"))</x:f>
      </x:c>
      <x:c r="O153" s="9"/>
      <x:c r="P153" s="20"/>
      <x:c r="Q153" s="20"/>
      <x:c r="R153" s="19"/>
      <x:c r="S153" s="19"/>
      <x:c r="T153" s="14" t="str">
        <x:f>IF(A153="","",P153-Q153)</x:f>
      </x:c>
      <x:c r="U153" s="13" t="str">
        <x:f>IF(A153="","",COUNTIFS('Attendees'!$B$6:$B$205,A153,'Attendees'!$A$6:$A$205,"&lt;&gt;"))</x:f>
      </x:c>
      <x:c r="V153" s="13" t="str">
        <x:f>IF(A153="","",COUNTIFS('Attendees'!$B$6:$B$205,A153,'Attendees'!$F$6:$F$205,"Non-alcoholic",'Attendees'!$A$6:$A$205,"&lt;&gt;"))</x:f>
      </x:c>
      <x:c r="W153" s="13" t="str">
        <x:f>IF(A153="","",COUNTIFS('Attendees'!$B$6:$B$205,A153,'Attendees'!$F$6:$F$205,"Alcohol-inclusive",'Attendees'!$A$6:$A$205,"&lt;&gt;"))</x:f>
      </x:c>
      <x:c r="X153" s="9"/>
      <x:c r="Y153" s="13" t="str">
        <x:f>IF(A153="","",IF(COUNTIFS($A$6:$A$205,A153)&gt;1,"Duplicate booking ID",IF(OR(I153&lt;1,I153&gt;'Dashboard'!$E$10,G153&lt;0,H153&lt;0,G153&lt;&gt;INT(G153),H153&lt;&gt;INT(H153)),"Use 1–5 whole passes",IF(OR(C153="",E153="",F153=""),"Complete buyer name, phone and email",IF(NOT(ISNUMBER(M153)),"Set added charges (0 if none)",IF(AND(S153&lt;&gt;"",COUNTIFS($S$6:$S$205,S153)&gt;1),"Duplicate payment ID",IF(AND(O153="Confirmed",OR(P153&lt;&gt;N153,S153="")),"Verify full payment + payment ID",IF(OR(U153&lt;&gt;I153,V153&lt;&gt;G153,W153&lt;&gt;H153),"Complete matching attendee details",""))))))))</x:f>
      </x:c>
    </x:row>
    <x:row r="154" ht="22" customHeight="1">
      <x:c r="A154" s="9"/>
      <x:c r="B154" s="18"/>
      <x:c r="C154" s="9"/>
      <x:c r="D154" s="9"/>
      <x:c r="E154" s="19"/>
      <x:c r="F154" s="19"/>
      <x:c r="G154" s="9"/>
      <x:c r="H154" s="9"/>
      <x:c r="I154" s="13" t="str">
        <x:f>IF(A154="","",SUM(G154:H154))</x:f>
      </x:c>
      <x:c r="J154" s="20" t="n">
        <x:v>2999</x:v>
      </x:c>
      <x:c r="K154" s="20" t="n">
        <x:v>3999</x:v>
      </x:c>
      <x:c r="L154" s="14" t="str">
        <x:f>IF(A154="","",G154*J154+H154*K154)</x:f>
      </x:c>
      <x:c r="M154" s="20"/>
      <x:c r="N154" s="14" t="str">
        <x:f>IF(A154="","",IF(ISNUMBER(M154),ROUND(L154+M154,2),"Set added charges"))</x:f>
      </x:c>
      <x:c r="O154" s="9"/>
      <x:c r="P154" s="20"/>
      <x:c r="Q154" s="20"/>
      <x:c r="R154" s="19"/>
      <x:c r="S154" s="19"/>
      <x:c r="T154" s="14" t="str">
        <x:f>IF(A154="","",P154-Q154)</x:f>
      </x:c>
      <x:c r="U154" s="13" t="str">
        <x:f>IF(A154="","",COUNTIFS('Attendees'!$B$6:$B$205,A154,'Attendees'!$A$6:$A$205,"&lt;&gt;"))</x:f>
      </x:c>
      <x:c r="V154" s="13" t="str">
        <x:f>IF(A154="","",COUNTIFS('Attendees'!$B$6:$B$205,A154,'Attendees'!$F$6:$F$205,"Non-alcoholic",'Attendees'!$A$6:$A$205,"&lt;&gt;"))</x:f>
      </x:c>
      <x:c r="W154" s="13" t="str">
        <x:f>IF(A154="","",COUNTIFS('Attendees'!$B$6:$B$205,A154,'Attendees'!$F$6:$F$205,"Alcohol-inclusive",'Attendees'!$A$6:$A$205,"&lt;&gt;"))</x:f>
      </x:c>
      <x:c r="X154" s="9"/>
      <x:c r="Y154" s="13" t="str">
        <x:f>IF(A154="","",IF(COUNTIFS($A$6:$A$205,A154)&gt;1,"Duplicate booking ID",IF(OR(I154&lt;1,I154&gt;'Dashboard'!$E$10,G154&lt;0,H154&lt;0,G154&lt;&gt;INT(G154),H154&lt;&gt;INT(H154)),"Use 1–5 whole passes",IF(OR(C154="",E154="",F154=""),"Complete buyer name, phone and email",IF(NOT(ISNUMBER(M154)),"Set added charges (0 if none)",IF(AND(S154&lt;&gt;"",COUNTIFS($S$6:$S$205,S154)&gt;1),"Duplicate payment ID",IF(AND(O154="Confirmed",OR(P154&lt;&gt;N154,S154="")),"Verify full payment + payment ID",IF(OR(U154&lt;&gt;I154,V154&lt;&gt;G154,W154&lt;&gt;H154),"Complete matching attendee details",""))))))))</x:f>
      </x:c>
    </x:row>
    <x:row r="155" ht="22" customHeight="1">
      <x:c r="A155" s="9"/>
      <x:c r="B155" s="18"/>
      <x:c r="C155" s="9"/>
      <x:c r="D155" s="9"/>
      <x:c r="E155" s="19"/>
      <x:c r="F155" s="19"/>
      <x:c r="G155" s="9"/>
      <x:c r="H155" s="9"/>
      <x:c r="I155" s="13" t="str">
        <x:f>IF(A155="","",SUM(G155:H155))</x:f>
      </x:c>
      <x:c r="J155" s="20" t="n">
        <x:v>2999</x:v>
      </x:c>
      <x:c r="K155" s="20" t="n">
        <x:v>3999</x:v>
      </x:c>
      <x:c r="L155" s="14" t="str">
        <x:f>IF(A155="","",G155*J155+H155*K155)</x:f>
      </x:c>
      <x:c r="M155" s="20"/>
      <x:c r="N155" s="14" t="str">
        <x:f>IF(A155="","",IF(ISNUMBER(M155),ROUND(L155+M155,2),"Set added charges"))</x:f>
      </x:c>
      <x:c r="O155" s="9"/>
      <x:c r="P155" s="20"/>
      <x:c r="Q155" s="20"/>
      <x:c r="R155" s="19"/>
      <x:c r="S155" s="19"/>
      <x:c r="T155" s="14" t="str">
        <x:f>IF(A155="","",P155-Q155)</x:f>
      </x:c>
      <x:c r="U155" s="13" t="str">
        <x:f>IF(A155="","",COUNTIFS('Attendees'!$B$6:$B$205,A155,'Attendees'!$A$6:$A$205,"&lt;&gt;"))</x:f>
      </x:c>
      <x:c r="V155" s="13" t="str">
        <x:f>IF(A155="","",COUNTIFS('Attendees'!$B$6:$B$205,A155,'Attendees'!$F$6:$F$205,"Non-alcoholic",'Attendees'!$A$6:$A$205,"&lt;&gt;"))</x:f>
      </x:c>
      <x:c r="W155" s="13" t="str">
        <x:f>IF(A155="","",COUNTIFS('Attendees'!$B$6:$B$205,A155,'Attendees'!$F$6:$F$205,"Alcohol-inclusive",'Attendees'!$A$6:$A$205,"&lt;&gt;"))</x:f>
      </x:c>
      <x:c r="X155" s="9"/>
      <x:c r="Y155" s="13" t="str">
        <x:f>IF(A155="","",IF(COUNTIFS($A$6:$A$205,A155)&gt;1,"Duplicate booking ID",IF(OR(I155&lt;1,I155&gt;'Dashboard'!$E$10,G155&lt;0,H155&lt;0,G155&lt;&gt;INT(G155),H155&lt;&gt;INT(H155)),"Use 1–5 whole passes",IF(OR(C155="",E155="",F155=""),"Complete buyer name, phone and email",IF(NOT(ISNUMBER(M155)),"Set added charges (0 if none)",IF(AND(S155&lt;&gt;"",COUNTIFS($S$6:$S$205,S155)&gt;1),"Duplicate payment ID",IF(AND(O155="Confirmed",OR(P155&lt;&gt;N155,S155="")),"Verify full payment + payment ID",IF(OR(U155&lt;&gt;I155,V155&lt;&gt;G155,W155&lt;&gt;H155),"Complete matching attendee details",""))))))))</x:f>
      </x:c>
    </x:row>
    <x:row r="156" ht="22" customHeight="1">
      <x:c r="A156" s="9"/>
      <x:c r="B156" s="18"/>
      <x:c r="C156" s="9"/>
      <x:c r="D156" s="9"/>
      <x:c r="E156" s="19"/>
      <x:c r="F156" s="19"/>
      <x:c r="G156" s="9"/>
      <x:c r="H156" s="9"/>
      <x:c r="I156" s="13" t="str">
        <x:f>IF(A156="","",SUM(G156:H156))</x:f>
      </x:c>
      <x:c r="J156" s="20" t="n">
        <x:v>2999</x:v>
      </x:c>
      <x:c r="K156" s="20" t="n">
        <x:v>3999</x:v>
      </x:c>
      <x:c r="L156" s="14" t="str">
        <x:f>IF(A156="","",G156*J156+H156*K156)</x:f>
      </x:c>
      <x:c r="M156" s="20"/>
      <x:c r="N156" s="14" t="str">
        <x:f>IF(A156="","",IF(ISNUMBER(M156),ROUND(L156+M156,2),"Set added charges"))</x:f>
      </x:c>
      <x:c r="O156" s="9"/>
      <x:c r="P156" s="20"/>
      <x:c r="Q156" s="20"/>
      <x:c r="R156" s="19"/>
      <x:c r="S156" s="19"/>
      <x:c r="T156" s="14" t="str">
        <x:f>IF(A156="","",P156-Q156)</x:f>
      </x:c>
      <x:c r="U156" s="13" t="str">
        <x:f>IF(A156="","",COUNTIFS('Attendees'!$B$6:$B$205,A156,'Attendees'!$A$6:$A$205,"&lt;&gt;"))</x:f>
      </x:c>
      <x:c r="V156" s="13" t="str">
        <x:f>IF(A156="","",COUNTIFS('Attendees'!$B$6:$B$205,A156,'Attendees'!$F$6:$F$205,"Non-alcoholic",'Attendees'!$A$6:$A$205,"&lt;&gt;"))</x:f>
      </x:c>
      <x:c r="W156" s="13" t="str">
        <x:f>IF(A156="","",COUNTIFS('Attendees'!$B$6:$B$205,A156,'Attendees'!$F$6:$F$205,"Alcohol-inclusive",'Attendees'!$A$6:$A$205,"&lt;&gt;"))</x:f>
      </x:c>
      <x:c r="X156" s="9"/>
      <x:c r="Y156" s="13" t="str">
        <x:f>IF(A156="","",IF(COUNTIFS($A$6:$A$205,A156)&gt;1,"Duplicate booking ID",IF(OR(I156&lt;1,I156&gt;'Dashboard'!$E$10,G156&lt;0,H156&lt;0,G156&lt;&gt;INT(G156),H156&lt;&gt;INT(H156)),"Use 1–5 whole passes",IF(OR(C156="",E156="",F156=""),"Complete buyer name, phone and email",IF(NOT(ISNUMBER(M156)),"Set added charges (0 if none)",IF(AND(S156&lt;&gt;"",COUNTIFS($S$6:$S$205,S156)&gt;1),"Duplicate payment ID",IF(AND(O156="Confirmed",OR(P156&lt;&gt;N156,S156="")),"Verify full payment + payment ID",IF(OR(U156&lt;&gt;I156,V156&lt;&gt;G156,W156&lt;&gt;H156),"Complete matching attendee details",""))))))))</x:f>
      </x:c>
    </x:row>
    <x:row r="157" ht="22" customHeight="1">
      <x:c r="A157" s="9"/>
      <x:c r="B157" s="18"/>
      <x:c r="C157" s="9"/>
      <x:c r="D157" s="9"/>
      <x:c r="E157" s="19"/>
      <x:c r="F157" s="19"/>
      <x:c r="G157" s="9"/>
      <x:c r="H157" s="9"/>
      <x:c r="I157" s="13" t="str">
        <x:f>IF(A157="","",SUM(G157:H157))</x:f>
      </x:c>
      <x:c r="J157" s="20" t="n">
        <x:v>2999</x:v>
      </x:c>
      <x:c r="K157" s="20" t="n">
        <x:v>3999</x:v>
      </x:c>
      <x:c r="L157" s="14" t="str">
        <x:f>IF(A157="","",G157*J157+H157*K157)</x:f>
      </x:c>
      <x:c r="M157" s="20"/>
      <x:c r="N157" s="14" t="str">
        <x:f>IF(A157="","",IF(ISNUMBER(M157),ROUND(L157+M157,2),"Set added charges"))</x:f>
      </x:c>
      <x:c r="O157" s="9"/>
      <x:c r="P157" s="20"/>
      <x:c r="Q157" s="20"/>
      <x:c r="R157" s="19"/>
      <x:c r="S157" s="19"/>
      <x:c r="T157" s="14" t="str">
        <x:f>IF(A157="","",P157-Q157)</x:f>
      </x:c>
      <x:c r="U157" s="13" t="str">
        <x:f>IF(A157="","",COUNTIFS('Attendees'!$B$6:$B$205,A157,'Attendees'!$A$6:$A$205,"&lt;&gt;"))</x:f>
      </x:c>
      <x:c r="V157" s="13" t="str">
        <x:f>IF(A157="","",COUNTIFS('Attendees'!$B$6:$B$205,A157,'Attendees'!$F$6:$F$205,"Non-alcoholic",'Attendees'!$A$6:$A$205,"&lt;&gt;"))</x:f>
      </x:c>
      <x:c r="W157" s="13" t="str">
        <x:f>IF(A157="","",COUNTIFS('Attendees'!$B$6:$B$205,A157,'Attendees'!$F$6:$F$205,"Alcohol-inclusive",'Attendees'!$A$6:$A$205,"&lt;&gt;"))</x:f>
      </x:c>
      <x:c r="X157" s="9"/>
      <x:c r="Y157" s="13" t="str">
        <x:f>IF(A157="","",IF(COUNTIFS($A$6:$A$205,A157)&gt;1,"Duplicate booking ID",IF(OR(I157&lt;1,I157&gt;'Dashboard'!$E$10,G157&lt;0,H157&lt;0,G157&lt;&gt;INT(G157),H157&lt;&gt;INT(H157)),"Use 1–5 whole passes",IF(OR(C157="",E157="",F157=""),"Complete buyer name, phone and email",IF(NOT(ISNUMBER(M157)),"Set added charges (0 if none)",IF(AND(S157&lt;&gt;"",COUNTIFS($S$6:$S$205,S157)&gt;1),"Duplicate payment ID",IF(AND(O157="Confirmed",OR(P157&lt;&gt;N157,S157="")),"Verify full payment + payment ID",IF(OR(U157&lt;&gt;I157,V157&lt;&gt;G157,W157&lt;&gt;H157),"Complete matching attendee details",""))))))))</x:f>
      </x:c>
    </x:row>
    <x:row r="158" ht="22" customHeight="1">
      <x:c r="A158" s="9"/>
      <x:c r="B158" s="18"/>
      <x:c r="C158" s="9"/>
      <x:c r="D158" s="9"/>
      <x:c r="E158" s="19"/>
      <x:c r="F158" s="19"/>
      <x:c r="G158" s="9"/>
      <x:c r="H158" s="9"/>
      <x:c r="I158" s="13" t="str">
        <x:f>IF(A158="","",SUM(G158:H158))</x:f>
      </x:c>
      <x:c r="J158" s="20" t="n">
        <x:v>2999</x:v>
      </x:c>
      <x:c r="K158" s="20" t="n">
        <x:v>3999</x:v>
      </x:c>
      <x:c r="L158" s="14" t="str">
        <x:f>IF(A158="","",G158*J158+H158*K158)</x:f>
      </x:c>
      <x:c r="M158" s="20"/>
      <x:c r="N158" s="14" t="str">
        <x:f>IF(A158="","",IF(ISNUMBER(M158),ROUND(L158+M158,2),"Set added charges"))</x:f>
      </x:c>
      <x:c r="O158" s="9"/>
      <x:c r="P158" s="20"/>
      <x:c r="Q158" s="20"/>
      <x:c r="R158" s="19"/>
      <x:c r="S158" s="19"/>
      <x:c r="T158" s="14" t="str">
        <x:f>IF(A158="","",P158-Q158)</x:f>
      </x:c>
      <x:c r="U158" s="13" t="str">
        <x:f>IF(A158="","",COUNTIFS('Attendees'!$B$6:$B$205,A158,'Attendees'!$A$6:$A$205,"&lt;&gt;"))</x:f>
      </x:c>
      <x:c r="V158" s="13" t="str">
        <x:f>IF(A158="","",COUNTIFS('Attendees'!$B$6:$B$205,A158,'Attendees'!$F$6:$F$205,"Non-alcoholic",'Attendees'!$A$6:$A$205,"&lt;&gt;"))</x:f>
      </x:c>
      <x:c r="W158" s="13" t="str">
        <x:f>IF(A158="","",COUNTIFS('Attendees'!$B$6:$B$205,A158,'Attendees'!$F$6:$F$205,"Alcohol-inclusive",'Attendees'!$A$6:$A$205,"&lt;&gt;"))</x:f>
      </x:c>
      <x:c r="X158" s="9"/>
      <x:c r="Y158" s="13" t="str">
        <x:f>IF(A158="","",IF(COUNTIFS($A$6:$A$205,A158)&gt;1,"Duplicate booking ID",IF(OR(I158&lt;1,I158&gt;'Dashboard'!$E$10,G158&lt;0,H158&lt;0,G158&lt;&gt;INT(G158),H158&lt;&gt;INT(H158)),"Use 1–5 whole passes",IF(OR(C158="",E158="",F158=""),"Complete buyer name, phone and email",IF(NOT(ISNUMBER(M158)),"Set added charges (0 if none)",IF(AND(S158&lt;&gt;"",COUNTIFS($S$6:$S$205,S158)&gt;1),"Duplicate payment ID",IF(AND(O158="Confirmed",OR(P158&lt;&gt;N158,S158="")),"Verify full payment + payment ID",IF(OR(U158&lt;&gt;I158,V158&lt;&gt;G158,W158&lt;&gt;H158),"Complete matching attendee details",""))))))))</x:f>
      </x:c>
    </x:row>
    <x:row r="159" ht="22" customHeight="1">
      <x:c r="A159" s="9"/>
      <x:c r="B159" s="18"/>
      <x:c r="C159" s="9"/>
      <x:c r="D159" s="9"/>
      <x:c r="E159" s="19"/>
      <x:c r="F159" s="19"/>
      <x:c r="G159" s="9"/>
      <x:c r="H159" s="9"/>
      <x:c r="I159" s="13" t="str">
        <x:f>IF(A159="","",SUM(G159:H159))</x:f>
      </x:c>
      <x:c r="J159" s="20" t="n">
        <x:v>2999</x:v>
      </x:c>
      <x:c r="K159" s="20" t="n">
        <x:v>3999</x:v>
      </x:c>
      <x:c r="L159" s="14" t="str">
        <x:f>IF(A159="","",G159*J159+H159*K159)</x:f>
      </x:c>
      <x:c r="M159" s="20"/>
      <x:c r="N159" s="14" t="str">
        <x:f>IF(A159="","",IF(ISNUMBER(M159),ROUND(L159+M159,2),"Set added charges"))</x:f>
      </x:c>
      <x:c r="O159" s="9"/>
      <x:c r="P159" s="20"/>
      <x:c r="Q159" s="20"/>
      <x:c r="R159" s="19"/>
      <x:c r="S159" s="19"/>
      <x:c r="T159" s="14" t="str">
        <x:f>IF(A159="","",P159-Q159)</x:f>
      </x:c>
      <x:c r="U159" s="13" t="str">
        <x:f>IF(A159="","",COUNTIFS('Attendees'!$B$6:$B$205,A159,'Attendees'!$A$6:$A$205,"&lt;&gt;"))</x:f>
      </x:c>
      <x:c r="V159" s="13" t="str">
        <x:f>IF(A159="","",COUNTIFS('Attendees'!$B$6:$B$205,A159,'Attendees'!$F$6:$F$205,"Non-alcoholic",'Attendees'!$A$6:$A$205,"&lt;&gt;"))</x:f>
      </x:c>
      <x:c r="W159" s="13" t="str">
        <x:f>IF(A159="","",COUNTIFS('Attendees'!$B$6:$B$205,A159,'Attendees'!$F$6:$F$205,"Alcohol-inclusive",'Attendees'!$A$6:$A$205,"&lt;&gt;"))</x:f>
      </x:c>
      <x:c r="X159" s="9"/>
      <x:c r="Y159" s="13" t="str">
        <x:f>IF(A159="","",IF(COUNTIFS($A$6:$A$205,A159)&gt;1,"Duplicate booking ID",IF(OR(I159&lt;1,I159&gt;'Dashboard'!$E$10,G159&lt;0,H159&lt;0,G159&lt;&gt;INT(G159),H159&lt;&gt;INT(H159)),"Use 1–5 whole passes",IF(OR(C159="",E159="",F159=""),"Complete buyer name, phone and email",IF(NOT(ISNUMBER(M159)),"Set added charges (0 if none)",IF(AND(S159&lt;&gt;"",COUNTIFS($S$6:$S$205,S159)&gt;1),"Duplicate payment ID",IF(AND(O159="Confirmed",OR(P159&lt;&gt;N159,S159="")),"Verify full payment + payment ID",IF(OR(U159&lt;&gt;I159,V159&lt;&gt;G159,W159&lt;&gt;H159),"Complete matching attendee details",""))))))))</x:f>
      </x:c>
    </x:row>
    <x:row r="160" ht="22" customHeight="1">
      <x:c r="A160" s="9"/>
      <x:c r="B160" s="18"/>
      <x:c r="C160" s="9"/>
      <x:c r="D160" s="9"/>
      <x:c r="E160" s="19"/>
      <x:c r="F160" s="19"/>
      <x:c r="G160" s="9"/>
      <x:c r="H160" s="9"/>
      <x:c r="I160" s="13" t="str">
        <x:f>IF(A160="","",SUM(G160:H160))</x:f>
      </x:c>
      <x:c r="J160" s="20" t="n">
        <x:v>2999</x:v>
      </x:c>
      <x:c r="K160" s="20" t="n">
        <x:v>3999</x:v>
      </x:c>
      <x:c r="L160" s="14" t="str">
        <x:f>IF(A160="","",G160*J160+H160*K160)</x:f>
      </x:c>
      <x:c r="M160" s="20"/>
      <x:c r="N160" s="14" t="str">
        <x:f>IF(A160="","",IF(ISNUMBER(M160),ROUND(L160+M160,2),"Set added charges"))</x:f>
      </x:c>
      <x:c r="O160" s="9"/>
      <x:c r="P160" s="20"/>
      <x:c r="Q160" s="20"/>
      <x:c r="R160" s="19"/>
      <x:c r="S160" s="19"/>
      <x:c r="T160" s="14" t="str">
        <x:f>IF(A160="","",P160-Q160)</x:f>
      </x:c>
      <x:c r="U160" s="13" t="str">
        <x:f>IF(A160="","",COUNTIFS('Attendees'!$B$6:$B$205,A160,'Attendees'!$A$6:$A$205,"&lt;&gt;"))</x:f>
      </x:c>
      <x:c r="V160" s="13" t="str">
        <x:f>IF(A160="","",COUNTIFS('Attendees'!$B$6:$B$205,A160,'Attendees'!$F$6:$F$205,"Non-alcoholic",'Attendees'!$A$6:$A$205,"&lt;&gt;"))</x:f>
      </x:c>
      <x:c r="W160" s="13" t="str">
        <x:f>IF(A160="","",COUNTIFS('Attendees'!$B$6:$B$205,A160,'Attendees'!$F$6:$F$205,"Alcohol-inclusive",'Attendees'!$A$6:$A$205,"&lt;&gt;"))</x:f>
      </x:c>
      <x:c r="X160" s="9"/>
      <x:c r="Y160" s="13" t="str">
        <x:f>IF(A160="","",IF(COUNTIFS($A$6:$A$205,A160)&gt;1,"Duplicate booking ID",IF(OR(I160&lt;1,I160&gt;'Dashboard'!$E$10,G160&lt;0,H160&lt;0,G160&lt;&gt;INT(G160),H160&lt;&gt;INT(H160)),"Use 1–5 whole passes",IF(OR(C160="",E160="",F160=""),"Complete buyer name, phone and email",IF(NOT(ISNUMBER(M160)),"Set added charges (0 if none)",IF(AND(S160&lt;&gt;"",COUNTIFS($S$6:$S$205,S160)&gt;1),"Duplicate payment ID",IF(AND(O160="Confirmed",OR(P160&lt;&gt;N160,S160="")),"Verify full payment + payment ID",IF(OR(U160&lt;&gt;I160,V160&lt;&gt;G160,W160&lt;&gt;H160),"Complete matching attendee details",""))))))))</x:f>
      </x:c>
    </x:row>
    <x:row r="161" ht="22" customHeight="1">
      <x:c r="A161" s="9"/>
      <x:c r="B161" s="18"/>
      <x:c r="C161" s="9"/>
      <x:c r="D161" s="9"/>
      <x:c r="E161" s="19"/>
      <x:c r="F161" s="19"/>
      <x:c r="G161" s="9"/>
      <x:c r="H161" s="9"/>
      <x:c r="I161" s="13" t="str">
        <x:f>IF(A161="","",SUM(G161:H161))</x:f>
      </x:c>
      <x:c r="J161" s="20" t="n">
        <x:v>2999</x:v>
      </x:c>
      <x:c r="K161" s="20" t="n">
        <x:v>3999</x:v>
      </x:c>
      <x:c r="L161" s="14" t="str">
        <x:f>IF(A161="","",G161*J161+H161*K161)</x:f>
      </x:c>
      <x:c r="M161" s="20"/>
      <x:c r="N161" s="14" t="str">
        <x:f>IF(A161="","",IF(ISNUMBER(M161),ROUND(L161+M161,2),"Set added charges"))</x:f>
      </x:c>
      <x:c r="O161" s="9"/>
      <x:c r="P161" s="20"/>
      <x:c r="Q161" s="20"/>
      <x:c r="R161" s="19"/>
      <x:c r="S161" s="19"/>
      <x:c r="T161" s="14" t="str">
        <x:f>IF(A161="","",P161-Q161)</x:f>
      </x:c>
      <x:c r="U161" s="13" t="str">
        <x:f>IF(A161="","",COUNTIFS('Attendees'!$B$6:$B$205,A161,'Attendees'!$A$6:$A$205,"&lt;&gt;"))</x:f>
      </x:c>
      <x:c r="V161" s="13" t="str">
        <x:f>IF(A161="","",COUNTIFS('Attendees'!$B$6:$B$205,A161,'Attendees'!$F$6:$F$205,"Non-alcoholic",'Attendees'!$A$6:$A$205,"&lt;&gt;"))</x:f>
      </x:c>
      <x:c r="W161" s="13" t="str">
        <x:f>IF(A161="","",COUNTIFS('Attendees'!$B$6:$B$205,A161,'Attendees'!$F$6:$F$205,"Alcohol-inclusive",'Attendees'!$A$6:$A$205,"&lt;&gt;"))</x:f>
      </x:c>
      <x:c r="X161" s="9"/>
      <x:c r="Y161" s="13" t="str">
        <x:f>IF(A161="","",IF(COUNTIFS($A$6:$A$205,A161)&gt;1,"Duplicate booking ID",IF(OR(I161&lt;1,I161&gt;'Dashboard'!$E$10,G161&lt;0,H161&lt;0,G161&lt;&gt;INT(G161),H161&lt;&gt;INT(H161)),"Use 1–5 whole passes",IF(OR(C161="",E161="",F161=""),"Complete buyer name, phone and email",IF(NOT(ISNUMBER(M161)),"Set added charges (0 if none)",IF(AND(S161&lt;&gt;"",COUNTIFS($S$6:$S$205,S161)&gt;1),"Duplicate payment ID",IF(AND(O161="Confirmed",OR(P161&lt;&gt;N161,S161="")),"Verify full payment + payment ID",IF(OR(U161&lt;&gt;I161,V161&lt;&gt;G161,W161&lt;&gt;H161),"Complete matching attendee details",""))))))))</x:f>
      </x:c>
    </x:row>
    <x:row r="162" ht="22" customHeight="1">
      <x:c r="A162" s="9"/>
      <x:c r="B162" s="18"/>
      <x:c r="C162" s="9"/>
      <x:c r="D162" s="9"/>
      <x:c r="E162" s="19"/>
      <x:c r="F162" s="19"/>
      <x:c r="G162" s="9"/>
      <x:c r="H162" s="9"/>
      <x:c r="I162" s="13" t="str">
        <x:f>IF(A162="","",SUM(G162:H162))</x:f>
      </x:c>
      <x:c r="J162" s="20" t="n">
        <x:v>2999</x:v>
      </x:c>
      <x:c r="K162" s="20" t="n">
        <x:v>3999</x:v>
      </x:c>
      <x:c r="L162" s="14" t="str">
        <x:f>IF(A162="","",G162*J162+H162*K162)</x:f>
      </x:c>
      <x:c r="M162" s="20"/>
      <x:c r="N162" s="14" t="str">
        <x:f>IF(A162="","",IF(ISNUMBER(M162),ROUND(L162+M162,2),"Set added charges"))</x:f>
      </x:c>
      <x:c r="O162" s="9"/>
      <x:c r="P162" s="20"/>
      <x:c r="Q162" s="20"/>
      <x:c r="R162" s="19"/>
      <x:c r="S162" s="19"/>
      <x:c r="T162" s="14" t="str">
        <x:f>IF(A162="","",P162-Q162)</x:f>
      </x:c>
      <x:c r="U162" s="13" t="str">
        <x:f>IF(A162="","",COUNTIFS('Attendees'!$B$6:$B$205,A162,'Attendees'!$A$6:$A$205,"&lt;&gt;"))</x:f>
      </x:c>
      <x:c r="V162" s="13" t="str">
        <x:f>IF(A162="","",COUNTIFS('Attendees'!$B$6:$B$205,A162,'Attendees'!$F$6:$F$205,"Non-alcoholic",'Attendees'!$A$6:$A$205,"&lt;&gt;"))</x:f>
      </x:c>
      <x:c r="W162" s="13" t="str">
        <x:f>IF(A162="","",COUNTIFS('Attendees'!$B$6:$B$205,A162,'Attendees'!$F$6:$F$205,"Alcohol-inclusive",'Attendees'!$A$6:$A$205,"&lt;&gt;"))</x:f>
      </x:c>
      <x:c r="X162" s="9"/>
      <x:c r="Y162" s="13" t="str">
        <x:f>IF(A162="","",IF(COUNTIFS($A$6:$A$205,A162)&gt;1,"Duplicate booking ID",IF(OR(I162&lt;1,I162&gt;'Dashboard'!$E$10,G162&lt;0,H162&lt;0,G162&lt;&gt;INT(G162),H162&lt;&gt;INT(H162)),"Use 1–5 whole passes",IF(OR(C162="",E162="",F162=""),"Complete buyer name, phone and email",IF(NOT(ISNUMBER(M162)),"Set added charges (0 if none)",IF(AND(S162&lt;&gt;"",COUNTIFS($S$6:$S$205,S162)&gt;1),"Duplicate payment ID",IF(AND(O162="Confirmed",OR(P162&lt;&gt;N162,S162="")),"Verify full payment + payment ID",IF(OR(U162&lt;&gt;I162,V162&lt;&gt;G162,W162&lt;&gt;H162),"Complete matching attendee details",""))))))))</x:f>
      </x:c>
    </x:row>
    <x:row r="163" ht="22" customHeight="1">
      <x:c r="A163" s="9"/>
      <x:c r="B163" s="18"/>
      <x:c r="C163" s="9"/>
      <x:c r="D163" s="9"/>
      <x:c r="E163" s="19"/>
      <x:c r="F163" s="19"/>
      <x:c r="G163" s="9"/>
      <x:c r="H163" s="9"/>
      <x:c r="I163" s="13" t="str">
        <x:f>IF(A163="","",SUM(G163:H163))</x:f>
      </x:c>
      <x:c r="J163" s="20" t="n">
        <x:v>2999</x:v>
      </x:c>
      <x:c r="K163" s="20" t="n">
        <x:v>3999</x:v>
      </x:c>
      <x:c r="L163" s="14" t="str">
        <x:f>IF(A163="","",G163*J163+H163*K163)</x:f>
      </x:c>
      <x:c r="M163" s="20"/>
      <x:c r="N163" s="14" t="str">
        <x:f>IF(A163="","",IF(ISNUMBER(M163),ROUND(L163+M163,2),"Set added charges"))</x:f>
      </x:c>
      <x:c r="O163" s="9"/>
      <x:c r="P163" s="20"/>
      <x:c r="Q163" s="20"/>
      <x:c r="R163" s="19"/>
      <x:c r="S163" s="19"/>
      <x:c r="T163" s="14" t="str">
        <x:f>IF(A163="","",P163-Q163)</x:f>
      </x:c>
      <x:c r="U163" s="13" t="str">
        <x:f>IF(A163="","",COUNTIFS('Attendees'!$B$6:$B$205,A163,'Attendees'!$A$6:$A$205,"&lt;&gt;"))</x:f>
      </x:c>
      <x:c r="V163" s="13" t="str">
        <x:f>IF(A163="","",COUNTIFS('Attendees'!$B$6:$B$205,A163,'Attendees'!$F$6:$F$205,"Non-alcoholic",'Attendees'!$A$6:$A$205,"&lt;&gt;"))</x:f>
      </x:c>
      <x:c r="W163" s="13" t="str">
        <x:f>IF(A163="","",COUNTIFS('Attendees'!$B$6:$B$205,A163,'Attendees'!$F$6:$F$205,"Alcohol-inclusive",'Attendees'!$A$6:$A$205,"&lt;&gt;"))</x:f>
      </x:c>
      <x:c r="X163" s="9"/>
      <x:c r="Y163" s="13" t="str">
        <x:f>IF(A163="","",IF(COUNTIFS($A$6:$A$205,A163)&gt;1,"Duplicate booking ID",IF(OR(I163&lt;1,I163&gt;'Dashboard'!$E$10,G163&lt;0,H163&lt;0,G163&lt;&gt;INT(G163),H163&lt;&gt;INT(H163)),"Use 1–5 whole passes",IF(OR(C163="",E163="",F163=""),"Complete buyer name, phone and email",IF(NOT(ISNUMBER(M163)),"Set added charges (0 if none)",IF(AND(S163&lt;&gt;"",COUNTIFS($S$6:$S$205,S163)&gt;1),"Duplicate payment ID",IF(AND(O163="Confirmed",OR(P163&lt;&gt;N163,S163="")),"Verify full payment + payment ID",IF(OR(U163&lt;&gt;I163,V163&lt;&gt;G163,W163&lt;&gt;H163),"Complete matching attendee details",""))))))))</x:f>
      </x:c>
    </x:row>
    <x:row r="164" ht="22" customHeight="1">
      <x:c r="A164" s="9"/>
      <x:c r="B164" s="18"/>
      <x:c r="C164" s="9"/>
      <x:c r="D164" s="9"/>
      <x:c r="E164" s="19"/>
      <x:c r="F164" s="19"/>
      <x:c r="G164" s="9"/>
      <x:c r="H164" s="9"/>
      <x:c r="I164" s="13" t="str">
        <x:f>IF(A164="","",SUM(G164:H164))</x:f>
      </x:c>
      <x:c r="J164" s="20" t="n">
        <x:v>2999</x:v>
      </x:c>
      <x:c r="K164" s="20" t="n">
        <x:v>3999</x:v>
      </x:c>
      <x:c r="L164" s="14" t="str">
        <x:f>IF(A164="","",G164*J164+H164*K164)</x:f>
      </x:c>
      <x:c r="M164" s="20"/>
      <x:c r="N164" s="14" t="str">
        <x:f>IF(A164="","",IF(ISNUMBER(M164),ROUND(L164+M164,2),"Set added charges"))</x:f>
      </x:c>
      <x:c r="O164" s="9"/>
      <x:c r="P164" s="20"/>
      <x:c r="Q164" s="20"/>
      <x:c r="R164" s="19"/>
      <x:c r="S164" s="19"/>
      <x:c r="T164" s="14" t="str">
        <x:f>IF(A164="","",P164-Q164)</x:f>
      </x:c>
      <x:c r="U164" s="13" t="str">
        <x:f>IF(A164="","",COUNTIFS('Attendees'!$B$6:$B$205,A164,'Attendees'!$A$6:$A$205,"&lt;&gt;"))</x:f>
      </x:c>
      <x:c r="V164" s="13" t="str">
        <x:f>IF(A164="","",COUNTIFS('Attendees'!$B$6:$B$205,A164,'Attendees'!$F$6:$F$205,"Non-alcoholic",'Attendees'!$A$6:$A$205,"&lt;&gt;"))</x:f>
      </x:c>
      <x:c r="W164" s="13" t="str">
        <x:f>IF(A164="","",COUNTIFS('Attendees'!$B$6:$B$205,A164,'Attendees'!$F$6:$F$205,"Alcohol-inclusive",'Attendees'!$A$6:$A$205,"&lt;&gt;"))</x:f>
      </x:c>
      <x:c r="X164" s="9"/>
      <x:c r="Y164" s="13" t="str">
        <x:f>IF(A164="","",IF(COUNTIFS($A$6:$A$205,A164)&gt;1,"Duplicate booking ID",IF(OR(I164&lt;1,I164&gt;'Dashboard'!$E$10,G164&lt;0,H164&lt;0,G164&lt;&gt;INT(G164),H164&lt;&gt;INT(H164)),"Use 1–5 whole passes",IF(OR(C164="",E164="",F164=""),"Complete buyer name, phone and email",IF(NOT(ISNUMBER(M164)),"Set added charges (0 if none)",IF(AND(S164&lt;&gt;"",COUNTIFS($S$6:$S$205,S164)&gt;1),"Duplicate payment ID",IF(AND(O164="Confirmed",OR(P164&lt;&gt;N164,S164="")),"Verify full payment + payment ID",IF(OR(U164&lt;&gt;I164,V164&lt;&gt;G164,W164&lt;&gt;H164),"Complete matching attendee details",""))))))))</x:f>
      </x:c>
    </x:row>
    <x:row r="165" ht="22" customHeight="1">
      <x:c r="A165" s="9"/>
      <x:c r="B165" s="18"/>
      <x:c r="C165" s="9"/>
      <x:c r="D165" s="9"/>
      <x:c r="E165" s="19"/>
      <x:c r="F165" s="19"/>
      <x:c r="G165" s="9"/>
      <x:c r="H165" s="9"/>
      <x:c r="I165" s="13" t="str">
        <x:f>IF(A165="","",SUM(G165:H165))</x:f>
      </x:c>
      <x:c r="J165" s="20" t="n">
        <x:v>2999</x:v>
      </x:c>
      <x:c r="K165" s="20" t="n">
        <x:v>3999</x:v>
      </x:c>
      <x:c r="L165" s="14" t="str">
        <x:f>IF(A165="","",G165*J165+H165*K165)</x:f>
      </x:c>
      <x:c r="M165" s="20"/>
      <x:c r="N165" s="14" t="str">
        <x:f>IF(A165="","",IF(ISNUMBER(M165),ROUND(L165+M165,2),"Set added charges"))</x:f>
      </x:c>
      <x:c r="O165" s="9"/>
      <x:c r="P165" s="20"/>
      <x:c r="Q165" s="20"/>
      <x:c r="R165" s="19"/>
      <x:c r="S165" s="19"/>
      <x:c r="T165" s="14" t="str">
        <x:f>IF(A165="","",P165-Q165)</x:f>
      </x:c>
      <x:c r="U165" s="13" t="str">
        <x:f>IF(A165="","",COUNTIFS('Attendees'!$B$6:$B$205,A165,'Attendees'!$A$6:$A$205,"&lt;&gt;"))</x:f>
      </x:c>
      <x:c r="V165" s="13" t="str">
        <x:f>IF(A165="","",COUNTIFS('Attendees'!$B$6:$B$205,A165,'Attendees'!$F$6:$F$205,"Non-alcoholic",'Attendees'!$A$6:$A$205,"&lt;&gt;"))</x:f>
      </x:c>
      <x:c r="W165" s="13" t="str">
        <x:f>IF(A165="","",COUNTIFS('Attendees'!$B$6:$B$205,A165,'Attendees'!$F$6:$F$205,"Alcohol-inclusive",'Attendees'!$A$6:$A$205,"&lt;&gt;"))</x:f>
      </x:c>
      <x:c r="X165" s="9"/>
      <x:c r="Y165" s="13" t="str">
        <x:f>IF(A165="","",IF(COUNTIFS($A$6:$A$205,A165)&gt;1,"Duplicate booking ID",IF(OR(I165&lt;1,I165&gt;'Dashboard'!$E$10,G165&lt;0,H165&lt;0,G165&lt;&gt;INT(G165),H165&lt;&gt;INT(H165)),"Use 1–5 whole passes",IF(OR(C165="",E165="",F165=""),"Complete buyer name, phone and email",IF(NOT(ISNUMBER(M165)),"Set added charges (0 if none)",IF(AND(S165&lt;&gt;"",COUNTIFS($S$6:$S$205,S165)&gt;1),"Duplicate payment ID",IF(AND(O165="Confirmed",OR(P165&lt;&gt;N165,S165="")),"Verify full payment + payment ID",IF(OR(U165&lt;&gt;I165,V165&lt;&gt;G165,W165&lt;&gt;H165),"Complete matching attendee details",""))))))))</x:f>
      </x:c>
    </x:row>
    <x:row r="166" ht="22" customHeight="1">
      <x:c r="A166" s="9"/>
      <x:c r="B166" s="18"/>
      <x:c r="C166" s="9"/>
      <x:c r="D166" s="9"/>
      <x:c r="E166" s="19"/>
      <x:c r="F166" s="19"/>
      <x:c r="G166" s="9"/>
      <x:c r="H166" s="9"/>
      <x:c r="I166" s="13" t="str">
        <x:f>IF(A166="","",SUM(G166:H166))</x:f>
      </x:c>
      <x:c r="J166" s="20" t="n">
        <x:v>2999</x:v>
      </x:c>
      <x:c r="K166" s="20" t="n">
        <x:v>3999</x:v>
      </x:c>
      <x:c r="L166" s="14" t="str">
        <x:f>IF(A166="","",G166*J166+H166*K166)</x:f>
      </x:c>
      <x:c r="M166" s="20"/>
      <x:c r="N166" s="14" t="str">
        <x:f>IF(A166="","",IF(ISNUMBER(M166),ROUND(L166+M166,2),"Set added charges"))</x:f>
      </x:c>
      <x:c r="O166" s="9"/>
      <x:c r="P166" s="20"/>
      <x:c r="Q166" s="20"/>
      <x:c r="R166" s="19"/>
      <x:c r="S166" s="19"/>
      <x:c r="T166" s="14" t="str">
        <x:f>IF(A166="","",P166-Q166)</x:f>
      </x:c>
      <x:c r="U166" s="13" t="str">
        <x:f>IF(A166="","",COUNTIFS('Attendees'!$B$6:$B$205,A166,'Attendees'!$A$6:$A$205,"&lt;&gt;"))</x:f>
      </x:c>
      <x:c r="V166" s="13" t="str">
        <x:f>IF(A166="","",COUNTIFS('Attendees'!$B$6:$B$205,A166,'Attendees'!$F$6:$F$205,"Non-alcoholic",'Attendees'!$A$6:$A$205,"&lt;&gt;"))</x:f>
      </x:c>
      <x:c r="W166" s="13" t="str">
        <x:f>IF(A166="","",COUNTIFS('Attendees'!$B$6:$B$205,A166,'Attendees'!$F$6:$F$205,"Alcohol-inclusive",'Attendees'!$A$6:$A$205,"&lt;&gt;"))</x:f>
      </x:c>
      <x:c r="X166" s="9"/>
      <x:c r="Y166" s="13" t="str">
        <x:f>IF(A166="","",IF(COUNTIFS($A$6:$A$205,A166)&gt;1,"Duplicate booking ID",IF(OR(I166&lt;1,I166&gt;'Dashboard'!$E$10,G166&lt;0,H166&lt;0,G166&lt;&gt;INT(G166),H166&lt;&gt;INT(H166)),"Use 1–5 whole passes",IF(OR(C166="",E166="",F166=""),"Complete buyer name, phone and email",IF(NOT(ISNUMBER(M166)),"Set added charges (0 if none)",IF(AND(S166&lt;&gt;"",COUNTIFS($S$6:$S$205,S166)&gt;1),"Duplicate payment ID",IF(AND(O166="Confirmed",OR(P166&lt;&gt;N166,S166="")),"Verify full payment + payment ID",IF(OR(U166&lt;&gt;I166,V166&lt;&gt;G166,W166&lt;&gt;H166),"Complete matching attendee details",""))))))))</x:f>
      </x:c>
    </x:row>
    <x:row r="167" ht="22" customHeight="1">
      <x:c r="A167" s="9"/>
      <x:c r="B167" s="18"/>
      <x:c r="C167" s="9"/>
      <x:c r="D167" s="9"/>
      <x:c r="E167" s="19"/>
      <x:c r="F167" s="19"/>
      <x:c r="G167" s="9"/>
      <x:c r="H167" s="9"/>
      <x:c r="I167" s="13" t="str">
        <x:f>IF(A167="","",SUM(G167:H167))</x:f>
      </x:c>
      <x:c r="J167" s="20" t="n">
        <x:v>2999</x:v>
      </x:c>
      <x:c r="K167" s="20" t="n">
        <x:v>3999</x:v>
      </x:c>
      <x:c r="L167" s="14" t="str">
        <x:f>IF(A167="","",G167*J167+H167*K167)</x:f>
      </x:c>
      <x:c r="M167" s="20"/>
      <x:c r="N167" s="14" t="str">
        <x:f>IF(A167="","",IF(ISNUMBER(M167),ROUND(L167+M167,2),"Set added charges"))</x:f>
      </x:c>
      <x:c r="O167" s="9"/>
      <x:c r="P167" s="20"/>
      <x:c r="Q167" s="20"/>
      <x:c r="R167" s="19"/>
      <x:c r="S167" s="19"/>
      <x:c r="T167" s="14" t="str">
        <x:f>IF(A167="","",P167-Q167)</x:f>
      </x:c>
      <x:c r="U167" s="13" t="str">
        <x:f>IF(A167="","",COUNTIFS('Attendees'!$B$6:$B$205,A167,'Attendees'!$A$6:$A$205,"&lt;&gt;"))</x:f>
      </x:c>
      <x:c r="V167" s="13" t="str">
        <x:f>IF(A167="","",COUNTIFS('Attendees'!$B$6:$B$205,A167,'Attendees'!$F$6:$F$205,"Non-alcoholic",'Attendees'!$A$6:$A$205,"&lt;&gt;"))</x:f>
      </x:c>
      <x:c r="W167" s="13" t="str">
        <x:f>IF(A167="","",COUNTIFS('Attendees'!$B$6:$B$205,A167,'Attendees'!$F$6:$F$205,"Alcohol-inclusive",'Attendees'!$A$6:$A$205,"&lt;&gt;"))</x:f>
      </x:c>
      <x:c r="X167" s="9"/>
      <x:c r="Y167" s="13" t="str">
        <x:f>IF(A167="","",IF(COUNTIFS($A$6:$A$205,A167)&gt;1,"Duplicate booking ID",IF(OR(I167&lt;1,I167&gt;'Dashboard'!$E$10,G167&lt;0,H167&lt;0,G167&lt;&gt;INT(G167),H167&lt;&gt;INT(H167)),"Use 1–5 whole passes",IF(OR(C167="",E167="",F167=""),"Complete buyer name, phone and email",IF(NOT(ISNUMBER(M167)),"Set added charges (0 if none)",IF(AND(S167&lt;&gt;"",COUNTIFS($S$6:$S$205,S167)&gt;1),"Duplicate payment ID",IF(AND(O167="Confirmed",OR(P167&lt;&gt;N167,S167="")),"Verify full payment + payment ID",IF(OR(U167&lt;&gt;I167,V167&lt;&gt;G167,W167&lt;&gt;H167),"Complete matching attendee details",""))))))))</x:f>
      </x:c>
    </x:row>
    <x:row r="168" ht="22" customHeight="1">
      <x:c r="A168" s="9"/>
      <x:c r="B168" s="18"/>
      <x:c r="C168" s="9"/>
      <x:c r="D168" s="9"/>
      <x:c r="E168" s="19"/>
      <x:c r="F168" s="19"/>
      <x:c r="G168" s="9"/>
      <x:c r="H168" s="9"/>
      <x:c r="I168" s="13" t="str">
        <x:f>IF(A168="","",SUM(G168:H168))</x:f>
      </x:c>
      <x:c r="J168" s="20" t="n">
        <x:v>2999</x:v>
      </x:c>
      <x:c r="K168" s="20" t="n">
        <x:v>3999</x:v>
      </x:c>
      <x:c r="L168" s="14" t="str">
        <x:f>IF(A168="","",G168*J168+H168*K168)</x:f>
      </x:c>
      <x:c r="M168" s="20"/>
      <x:c r="N168" s="14" t="str">
        <x:f>IF(A168="","",IF(ISNUMBER(M168),ROUND(L168+M168,2),"Set added charges"))</x:f>
      </x:c>
      <x:c r="O168" s="9"/>
      <x:c r="P168" s="20"/>
      <x:c r="Q168" s="20"/>
      <x:c r="R168" s="19"/>
      <x:c r="S168" s="19"/>
      <x:c r="T168" s="14" t="str">
        <x:f>IF(A168="","",P168-Q168)</x:f>
      </x:c>
      <x:c r="U168" s="13" t="str">
        <x:f>IF(A168="","",COUNTIFS('Attendees'!$B$6:$B$205,A168,'Attendees'!$A$6:$A$205,"&lt;&gt;"))</x:f>
      </x:c>
      <x:c r="V168" s="13" t="str">
        <x:f>IF(A168="","",COUNTIFS('Attendees'!$B$6:$B$205,A168,'Attendees'!$F$6:$F$205,"Non-alcoholic",'Attendees'!$A$6:$A$205,"&lt;&gt;"))</x:f>
      </x:c>
      <x:c r="W168" s="13" t="str">
        <x:f>IF(A168="","",COUNTIFS('Attendees'!$B$6:$B$205,A168,'Attendees'!$F$6:$F$205,"Alcohol-inclusive",'Attendees'!$A$6:$A$205,"&lt;&gt;"))</x:f>
      </x:c>
      <x:c r="X168" s="9"/>
      <x:c r="Y168" s="13" t="str">
        <x:f>IF(A168="","",IF(COUNTIFS($A$6:$A$205,A168)&gt;1,"Duplicate booking ID",IF(OR(I168&lt;1,I168&gt;'Dashboard'!$E$10,G168&lt;0,H168&lt;0,G168&lt;&gt;INT(G168),H168&lt;&gt;INT(H168)),"Use 1–5 whole passes",IF(OR(C168="",E168="",F168=""),"Complete buyer name, phone and email",IF(NOT(ISNUMBER(M168)),"Set added charges (0 if none)",IF(AND(S168&lt;&gt;"",COUNTIFS($S$6:$S$205,S168)&gt;1),"Duplicate payment ID",IF(AND(O168="Confirmed",OR(P168&lt;&gt;N168,S168="")),"Verify full payment + payment ID",IF(OR(U168&lt;&gt;I168,V168&lt;&gt;G168,W168&lt;&gt;H168),"Complete matching attendee details",""))))))))</x:f>
      </x:c>
    </x:row>
    <x:row r="169" ht="22" customHeight="1">
      <x:c r="A169" s="9"/>
      <x:c r="B169" s="18"/>
      <x:c r="C169" s="9"/>
      <x:c r="D169" s="9"/>
      <x:c r="E169" s="19"/>
      <x:c r="F169" s="19"/>
      <x:c r="G169" s="9"/>
      <x:c r="H169" s="9"/>
      <x:c r="I169" s="13" t="str">
        <x:f>IF(A169="","",SUM(G169:H169))</x:f>
      </x:c>
      <x:c r="J169" s="20" t="n">
        <x:v>2999</x:v>
      </x:c>
      <x:c r="K169" s="20" t="n">
        <x:v>3999</x:v>
      </x:c>
      <x:c r="L169" s="14" t="str">
        <x:f>IF(A169="","",G169*J169+H169*K169)</x:f>
      </x:c>
      <x:c r="M169" s="20"/>
      <x:c r="N169" s="14" t="str">
        <x:f>IF(A169="","",IF(ISNUMBER(M169),ROUND(L169+M169,2),"Set added charges"))</x:f>
      </x:c>
      <x:c r="O169" s="9"/>
      <x:c r="P169" s="20"/>
      <x:c r="Q169" s="20"/>
      <x:c r="R169" s="19"/>
      <x:c r="S169" s="19"/>
      <x:c r="T169" s="14" t="str">
        <x:f>IF(A169="","",P169-Q169)</x:f>
      </x:c>
      <x:c r="U169" s="13" t="str">
        <x:f>IF(A169="","",COUNTIFS('Attendees'!$B$6:$B$205,A169,'Attendees'!$A$6:$A$205,"&lt;&gt;"))</x:f>
      </x:c>
      <x:c r="V169" s="13" t="str">
        <x:f>IF(A169="","",COUNTIFS('Attendees'!$B$6:$B$205,A169,'Attendees'!$F$6:$F$205,"Non-alcoholic",'Attendees'!$A$6:$A$205,"&lt;&gt;"))</x:f>
      </x:c>
      <x:c r="W169" s="13" t="str">
        <x:f>IF(A169="","",COUNTIFS('Attendees'!$B$6:$B$205,A169,'Attendees'!$F$6:$F$205,"Alcohol-inclusive",'Attendees'!$A$6:$A$205,"&lt;&gt;"))</x:f>
      </x:c>
      <x:c r="X169" s="9"/>
      <x:c r="Y169" s="13" t="str">
        <x:f>IF(A169="","",IF(COUNTIFS($A$6:$A$205,A169)&gt;1,"Duplicate booking ID",IF(OR(I169&lt;1,I169&gt;'Dashboard'!$E$10,G169&lt;0,H169&lt;0,G169&lt;&gt;INT(G169),H169&lt;&gt;INT(H169)),"Use 1–5 whole passes",IF(OR(C169="",E169="",F169=""),"Complete buyer name, phone and email",IF(NOT(ISNUMBER(M169)),"Set added charges (0 if none)",IF(AND(S169&lt;&gt;"",COUNTIFS($S$6:$S$205,S169)&gt;1),"Duplicate payment ID",IF(AND(O169="Confirmed",OR(P169&lt;&gt;N169,S169="")),"Verify full payment + payment ID",IF(OR(U169&lt;&gt;I169,V169&lt;&gt;G169,W169&lt;&gt;H169),"Complete matching attendee details",""))))))))</x:f>
      </x:c>
    </x:row>
    <x:row r="170" ht="22" customHeight="1">
      <x:c r="A170" s="9"/>
      <x:c r="B170" s="18"/>
      <x:c r="C170" s="9"/>
      <x:c r="D170" s="9"/>
      <x:c r="E170" s="19"/>
      <x:c r="F170" s="19"/>
      <x:c r="G170" s="9"/>
      <x:c r="H170" s="9"/>
      <x:c r="I170" s="13" t="str">
        <x:f>IF(A170="","",SUM(G170:H170))</x:f>
      </x:c>
      <x:c r="J170" s="20" t="n">
        <x:v>2999</x:v>
      </x:c>
      <x:c r="K170" s="20" t="n">
        <x:v>3999</x:v>
      </x:c>
      <x:c r="L170" s="14" t="str">
        <x:f>IF(A170="","",G170*J170+H170*K170)</x:f>
      </x:c>
      <x:c r="M170" s="20"/>
      <x:c r="N170" s="14" t="str">
        <x:f>IF(A170="","",IF(ISNUMBER(M170),ROUND(L170+M170,2),"Set added charges"))</x:f>
      </x:c>
      <x:c r="O170" s="9"/>
      <x:c r="P170" s="20"/>
      <x:c r="Q170" s="20"/>
      <x:c r="R170" s="19"/>
      <x:c r="S170" s="19"/>
      <x:c r="T170" s="14" t="str">
        <x:f>IF(A170="","",P170-Q170)</x:f>
      </x:c>
      <x:c r="U170" s="13" t="str">
        <x:f>IF(A170="","",COUNTIFS('Attendees'!$B$6:$B$205,A170,'Attendees'!$A$6:$A$205,"&lt;&gt;"))</x:f>
      </x:c>
      <x:c r="V170" s="13" t="str">
        <x:f>IF(A170="","",COUNTIFS('Attendees'!$B$6:$B$205,A170,'Attendees'!$F$6:$F$205,"Non-alcoholic",'Attendees'!$A$6:$A$205,"&lt;&gt;"))</x:f>
      </x:c>
      <x:c r="W170" s="13" t="str">
        <x:f>IF(A170="","",COUNTIFS('Attendees'!$B$6:$B$205,A170,'Attendees'!$F$6:$F$205,"Alcohol-inclusive",'Attendees'!$A$6:$A$205,"&lt;&gt;"))</x:f>
      </x:c>
      <x:c r="X170" s="9"/>
      <x:c r="Y170" s="13" t="str">
        <x:f>IF(A170="","",IF(COUNTIFS($A$6:$A$205,A170)&gt;1,"Duplicate booking ID",IF(OR(I170&lt;1,I170&gt;'Dashboard'!$E$10,G170&lt;0,H170&lt;0,G170&lt;&gt;INT(G170),H170&lt;&gt;INT(H170)),"Use 1–5 whole passes",IF(OR(C170="",E170="",F170=""),"Complete buyer name, phone and email",IF(NOT(ISNUMBER(M170)),"Set added charges (0 if none)",IF(AND(S170&lt;&gt;"",COUNTIFS($S$6:$S$205,S170)&gt;1),"Duplicate payment ID",IF(AND(O170="Confirmed",OR(P170&lt;&gt;N170,S170="")),"Verify full payment + payment ID",IF(OR(U170&lt;&gt;I170,V170&lt;&gt;G170,W170&lt;&gt;H170),"Complete matching attendee details",""))))))))</x:f>
      </x:c>
    </x:row>
    <x:row r="171" ht="22" customHeight="1">
      <x:c r="A171" s="9"/>
      <x:c r="B171" s="18"/>
      <x:c r="C171" s="9"/>
      <x:c r="D171" s="9"/>
      <x:c r="E171" s="19"/>
      <x:c r="F171" s="19"/>
      <x:c r="G171" s="9"/>
      <x:c r="H171" s="9"/>
      <x:c r="I171" s="13" t="str">
        <x:f>IF(A171="","",SUM(G171:H171))</x:f>
      </x:c>
      <x:c r="J171" s="20" t="n">
        <x:v>2999</x:v>
      </x:c>
      <x:c r="K171" s="20" t="n">
        <x:v>3999</x:v>
      </x:c>
      <x:c r="L171" s="14" t="str">
        <x:f>IF(A171="","",G171*J171+H171*K171)</x:f>
      </x:c>
      <x:c r="M171" s="20"/>
      <x:c r="N171" s="14" t="str">
        <x:f>IF(A171="","",IF(ISNUMBER(M171),ROUND(L171+M171,2),"Set added charges"))</x:f>
      </x:c>
      <x:c r="O171" s="9"/>
      <x:c r="P171" s="20"/>
      <x:c r="Q171" s="20"/>
      <x:c r="R171" s="19"/>
      <x:c r="S171" s="19"/>
      <x:c r="T171" s="14" t="str">
        <x:f>IF(A171="","",P171-Q171)</x:f>
      </x:c>
      <x:c r="U171" s="13" t="str">
        <x:f>IF(A171="","",COUNTIFS('Attendees'!$B$6:$B$205,A171,'Attendees'!$A$6:$A$205,"&lt;&gt;"))</x:f>
      </x:c>
      <x:c r="V171" s="13" t="str">
        <x:f>IF(A171="","",COUNTIFS('Attendees'!$B$6:$B$205,A171,'Attendees'!$F$6:$F$205,"Non-alcoholic",'Attendees'!$A$6:$A$205,"&lt;&gt;"))</x:f>
      </x:c>
      <x:c r="W171" s="13" t="str">
        <x:f>IF(A171="","",COUNTIFS('Attendees'!$B$6:$B$205,A171,'Attendees'!$F$6:$F$205,"Alcohol-inclusive",'Attendees'!$A$6:$A$205,"&lt;&gt;"))</x:f>
      </x:c>
      <x:c r="X171" s="9"/>
      <x:c r="Y171" s="13" t="str">
        <x:f>IF(A171="","",IF(COUNTIFS($A$6:$A$205,A171)&gt;1,"Duplicate booking ID",IF(OR(I171&lt;1,I171&gt;'Dashboard'!$E$10,G171&lt;0,H171&lt;0,G171&lt;&gt;INT(G171),H171&lt;&gt;INT(H171)),"Use 1–5 whole passes",IF(OR(C171="",E171="",F171=""),"Complete buyer name, phone and email",IF(NOT(ISNUMBER(M171)),"Set added charges (0 if none)",IF(AND(S171&lt;&gt;"",COUNTIFS($S$6:$S$205,S171)&gt;1),"Duplicate payment ID",IF(AND(O171="Confirmed",OR(P171&lt;&gt;N171,S171="")),"Verify full payment + payment ID",IF(OR(U171&lt;&gt;I171,V171&lt;&gt;G171,W171&lt;&gt;H171),"Complete matching attendee details",""))))))))</x:f>
      </x:c>
    </x:row>
    <x:row r="172" ht="22" customHeight="1">
      <x:c r="A172" s="9"/>
      <x:c r="B172" s="18"/>
      <x:c r="C172" s="9"/>
      <x:c r="D172" s="9"/>
      <x:c r="E172" s="19"/>
      <x:c r="F172" s="19"/>
      <x:c r="G172" s="9"/>
      <x:c r="H172" s="9"/>
      <x:c r="I172" s="13" t="str">
        <x:f>IF(A172="","",SUM(G172:H172))</x:f>
      </x:c>
      <x:c r="J172" s="20" t="n">
        <x:v>2999</x:v>
      </x:c>
      <x:c r="K172" s="20" t="n">
        <x:v>3999</x:v>
      </x:c>
      <x:c r="L172" s="14" t="str">
        <x:f>IF(A172="","",G172*J172+H172*K172)</x:f>
      </x:c>
      <x:c r="M172" s="20"/>
      <x:c r="N172" s="14" t="str">
        <x:f>IF(A172="","",IF(ISNUMBER(M172),ROUND(L172+M172,2),"Set added charges"))</x:f>
      </x:c>
      <x:c r="O172" s="9"/>
      <x:c r="P172" s="20"/>
      <x:c r="Q172" s="20"/>
      <x:c r="R172" s="19"/>
      <x:c r="S172" s="19"/>
      <x:c r="T172" s="14" t="str">
        <x:f>IF(A172="","",P172-Q172)</x:f>
      </x:c>
      <x:c r="U172" s="13" t="str">
        <x:f>IF(A172="","",COUNTIFS('Attendees'!$B$6:$B$205,A172,'Attendees'!$A$6:$A$205,"&lt;&gt;"))</x:f>
      </x:c>
      <x:c r="V172" s="13" t="str">
        <x:f>IF(A172="","",COUNTIFS('Attendees'!$B$6:$B$205,A172,'Attendees'!$F$6:$F$205,"Non-alcoholic",'Attendees'!$A$6:$A$205,"&lt;&gt;"))</x:f>
      </x:c>
      <x:c r="W172" s="13" t="str">
        <x:f>IF(A172="","",COUNTIFS('Attendees'!$B$6:$B$205,A172,'Attendees'!$F$6:$F$205,"Alcohol-inclusive",'Attendees'!$A$6:$A$205,"&lt;&gt;"))</x:f>
      </x:c>
      <x:c r="X172" s="9"/>
      <x:c r="Y172" s="13" t="str">
        <x:f>IF(A172="","",IF(COUNTIFS($A$6:$A$205,A172)&gt;1,"Duplicate booking ID",IF(OR(I172&lt;1,I172&gt;'Dashboard'!$E$10,G172&lt;0,H172&lt;0,G172&lt;&gt;INT(G172),H172&lt;&gt;INT(H172)),"Use 1–5 whole passes",IF(OR(C172="",E172="",F172=""),"Complete buyer name, phone and email",IF(NOT(ISNUMBER(M172)),"Set added charges (0 if none)",IF(AND(S172&lt;&gt;"",COUNTIFS($S$6:$S$205,S172)&gt;1),"Duplicate payment ID",IF(AND(O172="Confirmed",OR(P172&lt;&gt;N172,S172="")),"Verify full payment + payment ID",IF(OR(U172&lt;&gt;I172,V172&lt;&gt;G172,W172&lt;&gt;H172),"Complete matching attendee details",""))))))))</x:f>
      </x:c>
    </x:row>
    <x:row r="173" ht="22" customHeight="1">
      <x:c r="A173" s="9"/>
      <x:c r="B173" s="18"/>
      <x:c r="C173" s="9"/>
      <x:c r="D173" s="9"/>
      <x:c r="E173" s="19"/>
      <x:c r="F173" s="19"/>
      <x:c r="G173" s="9"/>
      <x:c r="H173" s="9"/>
      <x:c r="I173" s="13" t="str">
        <x:f>IF(A173="","",SUM(G173:H173))</x:f>
      </x:c>
      <x:c r="J173" s="20" t="n">
        <x:v>2999</x:v>
      </x:c>
      <x:c r="K173" s="20" t="n">
        <x:v>3999</x:v>
      </x:c>
      <x:c r="L173" s="14" t="str">
        <x:f>IF(A173="","",G173*J173+H173*K173)</x:f>
      </x:c>
      <x:c r="M173" s="20"/>
      <x:c r="N173" s="14" t="str">
        <x:f>IF(A173="","",IF(ISNUMBER(M173),ROUND(L173+M173,2),"Set added charges"))</x:f>
      </x:c>
      <x:c r="O173" s="9"/>
      <x:c r="P173" s="20"/>
      <x:c r="Q173" s="20"/>
      <x:c r="R173" s="19"/>
      <x:c r="S173" s="19"/>
      <x:c r="T173" s="14" t="str">
        <x:f>IF(A173="","",P173-Q173)</x:f>
      </x:c>
      <x:c r="U173" s="13" t="str">
        <x:f>IF(A173="","",COUNTIFS('Attendees'!$B$6:$B$205,A173,'Attendees'!$A$6:$A$205,"&lt;&gt;"))</x:f>
      </x:c>
      <x:c r="V173" s="13" t="str">
        <x:f>IF(A173="","",COUNTIFS('Attendees'!$B$6:$B$205,A173,'Attendees'!$F$6:$F$205,"Non-alcoholic",'Attendees'!$A$6:$A$205,"&lt;&gt;"))</x:f>
      </x:c>
      <x:c r="W173" s="13" t="str">
        <x:f>IF(A173="","",COUNTIFS('Attendees'!$B$6:$B$205,A173,'Attendees'!$F$6:$F$205,"Alcohol-inclusive",'Attendees'!$A$6:$A$205,"&lt;&gt;"))</x:f>
      </x:c>
      <x:c r="X173" s="9"/>
      <x:c r="Y173" s="13" t="str">
        <x:f>IF(A173="","",IF(COUNTIFS($A$6:$A$205,A173)&gt;1,"Duplicate booking ID",IF(OR(I173&lt;1,I173&gt;'Dashboard'!$E$10,G173&lt;0,H173&lt;0,G173&lt;&gt;INT(G173),H173&lt;&gt;INT(H173)),"Use 1–5 whole passes",IF(OR(C173="",E173="",F173=""),"Complete buyer name, phone and email",IF(NOT(ISNUMBER(M173)),"Set added charges (0 if none)",IF(AND(S173&lt;&gt;"",COUNTIFS($S$6:$S$205,S173)&gt;1),"Duplicate payment ID",IF(AND(O173="Confirmed",OR(P173&lt;&gt;N173,S173="")),"Verify full payment + payment ID",IF(OR(U173&lt;&gt;I173,V173&lt;&gt;G173,W173&lt;&gt;H173),"Complete matching attendee details",""))))))))</x:f>
      </x:c>
    </x:row>
    <x:row r="174" ht="22" customHeight="1">
      <x:c r="A174" s="9"/>
      <x:c r="B174" s="18"/>
      <x:c r="C174" s="9"/>
      <x:c r="D174" s="9"/>
      <x:c r="E174" s="19"/>
      <x:c r="F174" s="19"/>
      <x:c r="G174" s="9"/>
      <x:c r="H174" s="9"/>
      <x:c r="I174" s="13" t="str">
        <x:f>IF(A174="","",SUM(G174:H174))</x:f>
      </x:c>
      <x:c r="J174" s="20" t="n">
        <x:v>2999</x:v>
      </x:c>
      <x:c r="K174" s="20" t="n">
        <x:v>3999</x:v>
      </x:c>
      <x:c r="L174" s="14" t="str">
        <x:f>IF(A174="","",G174*J174+H174*K174)</x:f>
      </x:c>
      <x:c r="M174" s="20"/>
      <x:c r="N174" s="14" t="str">
        <x:f>IF(A174="","",IF(ISNUMBER(M174),ROUND(L174+M174,2),"Set added charges"))</x:f>
      </x:c>
      <x:c r="O174" s="9"/>
      <x:c r="P174" s="20"/>
      <x:c r="Q174" s="20"/>
      <x:c r="R174" s="19"/>
      <x:c r="S174" s="19"/>
      <x:c r="T174" s="14" t="str">
        <x:f>IF(A174="","",P174-Q174)</x:f>
      </x:c>
      <x:c r="U174" s="13" t="str">
        <x:f>IF(A174="","",COUNTIFS('Attendees'!$B$6:$B$205,A174,'Attendees'!$A$6:$A$205,"&lt;&gt;"))</x:f>
      </x:c>
      <x:c r="V174" s="13" t="str">
        <x:f>IF(A174="","",COUNTIFS('Attendees'!$B$6:$B$205,A174,'Attendees'!$F$6:$F$205,"Non-alcoholic",'Attendees'!$A$6:$A$205,"&lt;&gt;"))</x:f>
      </x:c>
      <x:c r="W174" s="13" t="str">
        <x:f>IF(A174="","",COUNTIFS('Attendees'!$B$6:$B$205,A174,'Attendees'!$F$6:$F$205,"Alcohol-inclusive",'Attendees'!$A$6:$A$205,"&lt;&gt;"))</x:f>
      </x:c>
      <x:c r="X174" s="9"/>
      <x:c r="Y174" s="13" t="str">
        <x:f>IF(A174="","",IF(COUNTIFS($A$6:$A$205,A174)&gt;1,"Duplicate booking ID",IF(OR(I174&lt;1,I174&gt;'Dashboard'!$E$10,G174&lt;0,H174&lt;0,G174&lt;&gt;INT(G174),H174&lt;&gt;INT(H174)),"Use 1–5 whole passes",IF(OR(C174="",E174="",F174=""),"Complete buyer name, phone and email",IF(NOT(ISNUMBER(M174)),"Set added charges (0 if none)",IF(AND(S174&lt;&gt;"",COUNTIFS($S$6:$S$205,S174)&gt;1),"Duplicate payment ID",IF(AND(O174="Confirmed",OR(P174&lt;&gt;N174,S174="")),"Verify full payment + payment ID",IF(OR(U174&lt;&gt;I174,V174&lt;&gt;G174,W174&lt;&gt;H174),"Complete matching attendee details",""))))))))</x:f>
      </x:c>
    </x:row>
    <x:row r="175" ht="22" customHeight="1">
      <x:c r="A175" s="9"/>
      <x:c r="B175" s="18"/>
      <x:c r="C175" s="9"/>
      <x:c r="D175" s="9"/>
      <x:c r="E175" s="19"/>
      <x:c r="F175" s="19"/>
      <x:c r="G175" s="9"/>
      <x:c r="H175" s="9"/>
      <x:c r="I175" s="13" t="str">
        <x:f>IF(A175="","",SUM(G175:H175))</x:f>
      </x:c>
      <x:c r="J175" s="20" t="n">
        <x:v>2999</x:v>
      </x:c>
      <x:c r="K175" s="20" t="n">
        <x:v>3999</x:v>
      </x:c>
      <x:c r="L175" s="14" t="str">
        <x:f>IF(A175="","",G175*J175+H175*K175)</x:f>
      </x:c>
      <x:c r="M175" s="20"/>
      <x:c r="N175" s="14" t="str">
        <x:f>IF(A175="","",IF(ISNUMBER(M175),ROUND(L175+M175,2),"Set added charges"))</x:f>
      </x:c>
      <x:c r="O175" s="9"/>
      <x:c r="P175" s="20"/>
      <x:c r="Q175" s="20"/>
      <x:c r="R175" s="19"/>
      <x:c r="S175" s="19"/>
      <x:c r="T175" s="14" t="str">
        <x:f>IF(A175="","",P175-Q175)</x:f>
      </x:c>
      <x:c r="U175" s="13" t="str">
        <x:f>IF(A175="","",COUNTIFS('Attendees'!$B$6:$B$205,A175,'Attendees'!$A$6:$A$205,"&lt;&gt;"))</x:f>
      </x:c>
      <x:c r="V175" s="13" t="str">
        <x:f>IF(A175="","",COUNTIFS('Attendees'!$B$6:$B$205,A175,'Attendees'!$F$6:$F$205,"Non-alcoholic",'Attendees'!$A$6:$A$205,"&lt;&gt;"))</x:f>
      </x:c>
      <x:c r="W175" s="13" t="str">
        <x:f>IF(A175="","",COUNTIFS('Attendees'!$B$6:$B$205,A175,'Attendees'!$F$6:$F$205,"Alcohol-inclusive",'Attendees'!$A$6:$A$205,"&lt;&gt;"))</x:f>
      </x:c>
      <x:c r="X175" s="9"/>
      <x:c r="Y175" s="13" t="str">
        <x:f>IF(A175="","",IF(COUNTIFS($A$6:$A$205,A175)&gt;1,"Duplicate booking ID",IF(OR(I175&lt;1,I175&gt;'Dashboard'!$E$10,G175&lt;0,H175&lt;0,G175&lt;&gt;INT(G175),H175&lt;&gt;INT(H175)),"Use 1–5 whole passes",IF(OR(C175="",E175="",F175=""),"Complete buyer name, phone and email",IF(NOT(ISNUMBER(M175)),"Set added charges (0 if none)",IF(AND(S175&lt;&gt;"",COUNTIFS($S$6:$S$205,S175)&gt;1),"Duplicate payment ID",IF(AND(O175="Confirmed",OR(P175&lt;&gt;N175,S175="")),"Verify full payment + payment ID",IF(OR(U175&lt;&gt;I175,V175&lt;&gt;G175,W175&lt;&gt;H175),"Complete matching attendee details",""))))))))</x:f>
      </x:c>
    </x:row>
    <x:row r="176" ht="22" customHeight="1">
      <x:c r="A176" s="9"/>
      <x:c r="B176" s="18"/>
      <x:c r="C176" s="9"/>
      <x:c r="D176" s="9"/>
      <x:c r="E176" s="19"/>
      <x:c r="F176" s="19"/>
      <x:c r="G176" s="9"/>
      <x:c r="H176" s="9"/>
      <x:c r="I176" s="13" t="str">
        <x:f>IF(A176="","",SUM(G176:H176))</x:f>
      </x:c>
      <x:c r="J176" s="20" t="n">
        <x:v>2999</x:v>
      </x:c>
      <x:c r="K176" s="20" t="n">
        <x:v>3999</x:v>
      </x:c>
      <x:c r="L176" s="14" t="str">
        <x:f>IF(A176="","",G176*J176+H176*K176)</x:f>
      </x:c>
      <x:c r="M176" s="20"/>
      <x:c r="N176" s="14" t="str">
        <x:f>IF(A176="","",IF(ISNUMBER(M176),ROUND(L176+M176,2),"Set added charges"))</x:f>
      </x:c>
      <x:c r="O176" s="9"/>
      <x:c r="P176" s="20"/>
      <x:c r="Q176" s="20"/>
      <x:c r="R176" s="19"/>
      <x:c r="S176" s="19"/>
      <x:c r="T176" s="14" t="str">
        <x:f>IF(A176="","",P176-Q176)</x:f>
      </x:c>
      <x:c r="U176" s="13" t="str">
        <x:f>IF(A176="","",COUNTIFS('Attendees'!$B$6:$B$205,A176,'Attendees'!$A$6:$A$205,"&lt;&gt;"))</x:f>
      </x:c>
      <x:c r="V176" s="13" t="str">
        <x:f>IF(A176="","",COUNTIFS('Attendees'!$B$6:$B$205,A176,'Attendees'!$F$6:$F$205,"Non-alcoholic",'Attendees'!$A$6:$A$205,"&lt;&gt;"))</x:f>
      </x:c>
      <x:c r="W176" s="13" t="str">
        <x:f>IF(A176="","",COUNTIFS('Attendees'!$B$6:$B$205,A176,'Attendees'!$F$6:$F$205,"Alcohol-inclusive",'Attendees'!$A$6:$A$205,"&lt;&gt;"))</x:f>
      </x:c>
      <x:c r="X176" s="9"/>
      <x:c r="Y176" s="13" t="str">
        <x:f>IF(A176="","",IF(COUNTIFS($A$6:$A$205,A176)&gt;1,"Duplicate booking ID",IF(OR(I176&lt;1,I176&gt;'Dashboard'!$E$10,G176&lt;0,H176&lt;0,G176&lt;&gt;INT(G176),H176&lt;&gt;INT(H176)),"Use 1–5 whole passes",IF(OR(C176="",E176="",F176=""),"Complete buyer name, phone and email",IF(NOT(ISNUMBER(M176)),"Set added charges (0 if none)",IF(AND(S176&lt;&gt;"",COUNTIFS($S$6:$S$205,S176)&gt;1),"Duplicate payment ID",IF(AND(O176="Confirmed",OR(P176&lt;&gt;N176,S176="")),"Verify full payment + payment ID",IF(OR(U176&lt;&gt;I176,V176&lt;&gt;G176,W176&lt;&gt;H176),"Complete matching attendee details",""))))))))</x:f>
      </x:c>
    </x:row>
    <x:row r="177" ht="22" customHeight="1">
      <x:c r="A177" s="9"/>
      <x:c r="B177" s="18"/>
      <x:c r="C177" s="9"/>
      <x:c r="D177" s="9"/>
      <x:c r="E177" s="19"/>
      <x:c r="F177" s="19"/>
      <x:c r="G177" s="9"/>
      <x:c r="H177" s="9"/>
      <x:c r="I177" s="13" t="str">
        <x:f>IF(A177="","",SUM(G177:H177))</x:f>
      </x:c>
      <x:c r="J177" s="20" t="n">
        <x:v>2999</x:v>
      </x:c>
      <x:c r="K177" s="20" t="n">
        <x:v>3999</x:v>
      </x:c>
      <x:c r="L177" s="14" t="str">
        <x:f>IF(A177="","",G177*J177+H177*K177)</x:f>
      </x:c>
      <x:c r="M177" s="20"/>
      <x:c r="N177" s="14" t="str">
        <x:f>IF(A177="","",IF(ISNUMBER(M177),ROUND(L177+M177,2),"Set added charges"))</x:f>
      </x:c>
      <x:c r="O177" s="9"/>
      <x:c r="P177" s="20"/>
      <x:c r="Q177" s="20"/>
      <x:c r="R177" s="19"/>
      <x:c r="S177" s="19"/>
      <x:c r="T177" s="14" t="str">
        <x:f>IF(A177="","",P177-Q177)</x:f>
      </x:c>
      <x:c r="U177" s="13" t="str">
        <x:f>IF(A177="","",COUNTIFS('Attendees'!$B$6:$B$205,A177,'Attendees'!$A$6:$A$205,"&lt;&gt;"))</x:f>
      </x:c>
      <x:c r="V177" s="13" t="str">
        <x:f>IF(A177="","",COUNTIFS('Attendees'!$B$6:$B$205,A177,'Attendees'!$F$6:$F$205,"Non-alcoholic",'Attendees'!$A$6:$A$205,"&lt;&gt;"))</x:f>
      </x:c>
      <x:c r="W177" s="13" t="str">
        <x:f>IF(A177="","",COUNTIFS('Attendees'!$B$6:$B$205,A177,'Attendees'!$F$6:$F$205,"Alcohol-inclusive",'Attendees'!$A$6:$A$205,"&lt;&gt;"))</x:f>
      </x:c>
      <x:c r="X177" s="9"/>
      <x:c r="Y177" s="13" t="str">
        <x:f>IF(A177="","",IF(COUNTIFS($A$6:$A$205,A177)&gt;1,"Duplicate booking ID",IF(OR(I177&lt;1,I177&gt;'Dashboard'!$E$10,G177&lt;0,H177&lt;0,G177&lt;&gt;INT(G177),H177&lt;&gt;INT(H177)),"Use 1–5 whole passes",IF(OR(C177="",E177="",F177=""),"Complete buyer name, phone and email",IF(NOT(ISNUMBER(M177)),"Set added charges (0 if none)",IF(AND(S177&lt;&gt;"",COUNTIFS($S$6:$S$205,S177)&gt;1),"Duplicate payment ID",IF(AND(O177="Confirmed",OR(P177&lt;&gt;N177,S177="")),"Verify full payment + payment ID",IF(OR(U177&lt;&gt;I177,V177&lt;&gt;G177,W177&lt;&gt;H177),"Complete matching attendee details",""))))))))</x:f>
      </x:c>
    </x:row>
    <x:row r="178" ht="22" customHeight="1">
      <x:c r="A178" s="9"/>
      <x:c r="B178" s="18"/>
      <x:c r="C178" s="9"/>
      <x:c r="D178" s="9"/>
      <x:c r="E178" s="19"/>
      <x:c r="F178" s="19"/>
      <x:c r="G178" s="9"/>
      <x:c r="H178" s="9"/>
      <x:c r="I178" s="13" t="str">
        <x:f>IF(A178="","",SUM(G178:H178))</x:f>
      </x:c>
      <x:c r="J178" s="20" t="n">
        <x:v>2999</x:v>
      </x:c>
      <x:c r="K178" s="20" t="n">
        <x:v>3999</x:v>
      </x:c>
      <x:c r="L178" s="14" t="str">
        <x:f>IF(A178="","",G178*J178+H178*K178)</x:f>
      </x:c>
      <x:c r="M178" s="20"/>
      <x:c r="N178" s="14" t="str">
        <x:f>IF(A178="","",IF(ISNUMBER(M178),ROUND(L178+M178,2),"Set added charges"))</x:f>
      </x:c>
      <x:c r="O178" s="9"/>
      <x:c r="P178" s="20"/>
      <x:c r="Q178" s="20"/>
      <x:c r="R178" s="19"/>
      <x:c r="S178" s="19"/>
      <x:c r="T178" s="14" t="str">
        <x:f>IF(A178="","",P178-Q178)</x:f>
      </x:c>
      <x:c r="U178" s="13" t="str">
        <x:f>IF(A178="","",COUNTIFS('Attendees'!$B$6:$B$205,A178,'Attendees'!$A$6:$A$205,"&lt;&gt;"))</x:f>
      </x:c>
      <x:c r="V178" s="13" t="str">
        <x:f>IF(A178="","",COUNTIFS('Attendees'!$B$6:$B$205,A178,'Attendees'!$F$6:$F$205,"Non-alcoholic",'Attendees'!$A$6:$A$205,"&lt;&gt;"))</x:f>
      </x:c>
      <x:c r="W178" s="13" t="str">
        <x:f>IF(A178="","",COUNTIFS('Attendees'!$B$6:$B$205,A178,'Attendees'!$F$6:$F$205,"Alcohol-inclusive",'Attendees'!$A$6:$A$205,"&lt;&gt;"))</x:f>
      </x:c>
      <x:c r="X178" s="9"/>
      <x:c r="Y178" s="13" t="str">
        <x:f>IF(A178="","",IF(COUNTIFS($A$6:$A$205,A178)&gt;1,"Duplicate booking ID",IF(OR(I178&lt;1,I178&gt;'Dashboard'!$E$10,G178&lt;0,H178&lt;0,G178&lt;&gt;INT(G178),H178&lt;&gt;INT(H178)),"Use 1–5 whole passes",IF(OR(C178="",E178="",F178=""),"Complete buyer name, phone and email",IF(NOT(ISNUMBER(M178)),"Set added charges (0 if none)",IF(AND(S178&lt;&gt;"",COUNTIFS($S$6:$S$205,S178)&gt;1),"Duplicate payment ID",IF(AND(O178="Confirmed",OR(P178&lt;&gt;N178,S178="")),"Verify full payment + payment ID",IF(OR(U178&lt;&gt;I178,V178&lt;&gt;G178,W178&lt;&gt;H178),"Complete matching attendee details",""))))))))</x:f>
      </x:c>
    </x:row>
    <x:row r="179" ht="22" customHeight="1">
      <x:c r="A179" s="9"/>
      <x:c r="B179" s="18"/>
      <x:c r="C179" s="9"/>
      <x:c r="D179" s="9"/>
      <x:c r="E179" s="19"/>
      <x:c r="F179" s="19"/>
      <x:c r="G179" s="9"/>
      <x:c r="H179" s="9"/>
      <x:c r="I179" s="13" t="str">
        <x:f>IF(A179="","",SUM(G179:H179))</x:f>
      </x:c>
      <x:c r="J179" s="20" t="n">
        <x:v>2999</x:v>
      </x:c>
      <x:c r="K179" s="20" t="n">
        <x:v>3999</x:v>
      </x:c>
      <x:c r="L179" s="14" t="str">
        <x:f>IF(A179="","",G179*J179+H179*K179)</x:f>
      </x:c>
      <x:c r="M179" s="20"/>
      <x:c r="N179" s="14" t="str">
        <x:f>IF(A179="","",IF(ISNUMBER(M179),ROUND(L179+M179,2),"Set added charges"))</x:f>
      </x:c>
      <x:c r="O179" s="9"/>
      <x:c r="P179" s="20"/>
      <x:c r="Q179" s="20"/>
      <x:c r="R179" s="19"/>
      <x:c r="S179" s="19"/>
      <x:c r="T179" s="14" t="str">
        <x:f>IF(A179="","",P179-Q179)</x:f>
      </x:c>
      <x:c r="U179" s="13" t="str">
        <x:f>IF(A179="","",COUNTIFS('Attendees'!$B$6:$B$205,A179,'Attendees'!$A$6:$A$205,"&lt;&gt;"))</x:f>
      </x:c>
      <x:c r="V179" s="13" t="str">
        <x:f>IF(A179="","",COUNTIFS('Attendees'!$B$6:$B$205,A179,'Attendees'!$F$6:$F$205,"Non-alcoholic",'Attendees'!$A$6:$A$205,"&lt;&gt;"))</x:f>
      </x:c>
      <x:c r="W179" s="13" t="str">
        <x:f>IF(A179="","",COUNTIFS('Attendees'!$B$6:$B$205,A179,'Attendees'!$F$6:$F$205,"Alcohol-inclusive",'Attendees'!$A$6:$A$205,"&lt;&gt;"))</x:f>
      </x:c>
      <x:c r="X179" s="9"/>
      <x:c r="Y179" s="13" t="str">
        <x:f>IF(A179="","",IF(COUNTIFS($A$6:$A$205,A179)&gt;1,"Duplicate booking ID",IF(OR(I179&lt;1,I179&gt;'Dashboard'!$E$10,G179&lt;0,H179&lt;0,G179&lt;&gt;INT(G179),H179&lt;&gt;INT(H179)),"Use 1–5 whole passes",IF(OR(C179="",E179="",F179=""),"Complete buyer name, phone and email",IF(NOT(ISNUMBER(M179)),"Set added charges (0 if none)",IF(AND(S179&lt;&gt;"",COUNTIFS($S$6:$S$205,S179)&gt;1),"Duplicate payment ID",IF(AND(O179="Confirmed",OR(P179&lt;&gt;N179,S179="")),"Verify full payment + payment ID",IF(OR(U179&lt;&gt;I179,V179&lt;&gt;G179,W179&lt;&gt;H179),"Complete matching attendee details",""))))))))</x:f>
      </x:c>
    </x:row>
    <x:row r="180" ht="22" customHeight="1">
      <x:c r="A180" s="9"/>
      <x:c r="B180" s="18"/>
      <x:c r="C180" s="9"/>
      <x:c r="D180" s="9"/>
      <x:c r="E180" s="19"/>
      <x:c r="F180" s="19"/>
      <x:c r="G180" s="9"/>
      <x:c r="H180" s="9"/>
      <x:c r="I180" s="13" t="str">
        <x:f>IF(A180="","",SUM(G180:H180))</x:f>
      </x:c>
      <x:c r="J180" s="20" t="n">
        <x:v>2999</x:v>
      </x:c>
      <x:c r="K180" s="20" t="n">
        <x:v>3999</x:v>
      </x:c>
      <x:c r="L180" s="14" t="str">
        <x:f>IF(A180="","",G180*J180+H180*K180)</x:f>
      </x:c>
      <x:c r="M180" s="20"/>
      <x:c r="N180" s="14" t="str">
        <x:f>IF(A180="","",IF(ISNUMBER(M180),ROUND(L180+M180,2),"Set added charges"))</x:f>
      </x:c>
      <x:c r="O180" s="9"/>
      <x:c r="P180" s="20"/>
      <x:c r="Q180" s="20"/>
      <x:c r="R180" s="19"/>
      <x:c r="S180" s="19"/>
      <x:c r="T180" s="14" t="str">
        <x:f>IF(A180="","",P180-Q180)</x:f>
      </x:c>
      <x:c r="U180" s="13" t="str">
        <x:f>IF(A180="","",COUNTIFS('Attendees'!$B$6:$B$205,A180,'Attendees'!$A$6:$A$205,"&lt;&gt;"))</x:f>
      </x:c>
      <x:c r="V180" s="13" t="str">
        <x:f>IF(A180="","",COUNTIFS('Attendees'!$B$6:$B$205,A180,'Attendees'!$F$6:$F$205,"Non-alcoholic",'Attendees'!$A$6:$A$205,"&lt;&gt;"))</x:f>
      </x:c>
      <x:c r="W180" s="13" t="str">
        <x:f>IF(A180="","",COUNTIFS('Attendees'!$B$6:$B$205,A180,'Attendees'!$F$6:$F$205,"Alcohol-inclusive",'Attendees'!$A$6:$A$205,"&lt;&gt;"))</x:f>
      </x:c>
      <x:c r="X180" s="9"/>
      <x:c r="Y180" s="13" t="str">
        <x:f>IF(A180="","",IF(COUNTIFS($A$6:$A$205,A180)&gt;1,"Duplicate booking ID",IF(OR(I180&lt;1,I180&gt;'Dashboard'!$E$10,G180&lt;0,H180&lt;0,G180&lt;&gt;INT(G180),H180&lt;&gt;INT(H180)),"Use 1–5 whole passes",IF(OR(C180="",E180="",F180=""),"Complete buyer name, phone and email",IF(NOT(ISNUMBER(M180)),"Set added charges (0 if none)",IF(AND(S180&lt;&gt;"",COUNTIFS($S$6:$S$205,S180)&gt;1),"Duplicate payment ID",IF(AND(O180="Confirmed",OR(P180&lt;&gt;N180,S180="")),"Verify full payment + payment ID",IF(OR(U180&lt;&gt;I180,V180&lt;&gt;G180,W180&lt;&gt;H180),"Complete matching attendee details",""))))))))</x:f>
      </x:c>
    </x:row>
    <x:row r="181" ht="22" customHeight="1">
      <x:c r="A181" s="9"/>
      <x:c r="B181" s="18"/>
      <x:c r="C181" s="9"/>
      <x:c r="D181" s="9"/>
      <x:c r="E181" s="19"/>
      <x:c r="F181" s="19"/>
      <x:c r="G181" s="9"/>
      <x:c r="H181" s="9"/>
      <x:c r="I181" s="13" t="str">
        <x:f>IF(A181="","",SUM(G181:H181))</x:f>
      </x:c>
      <x:c r="J181" s="20" t="n">
        <x:v>2999</x:v>
      </x:c>
      <x:c r="K181" s="20" t="n">
        <x:v>3999</x:v>
      </x:c>
      <x:c r="L181" s="14" t="str">
        <x:f>IF(A181="","",G181*J181+H181*K181)</x:f>
      </x:c>
      <x:c r="M181" s="20"/>
      <x:c r="N181" s="14" t="str">
        <x:f>IF(A181="","",IF(ISNUMBER(M181),ROUND(L181+M181,2),"Set added charges"))</x:f>
      </x:c>
      <x:c r="O181" s="9"/>
      <x:c r="P181" s="20"/>
      <x:c r="Q181" s="20"/>
      <x:c r="R181" s="19"/>
      <x:c r="S181" s="19"/>
      <x:c r="T181" s="14" t="str">
        <x:f>IF(A181="","",P181-Q181)</x:f>
      </x:c>
      <x:c r="U181" s="13" t="str">
        <x:f>IF(A181="","",COUNTIFS('Attendees'!$B$6:$B$205,A181,'Attendees'!$A$6:$A$205,"&lt;&gt;"))</x:f>
      </x:c>
      <x:c r="V181" s="13" t="str">
        <x:f>IF(A181="","",COUNTIFS('Attendees'!$B$6:$B$205,A181,'Attendees'!$F$6:$F$205,"Non-alcoholic",'Attendees'!$A$6:$A$205,"&lt;&gt;"))</x:f>
      </x:c>
      <x:c r="W181" s="13" t="str">
        <x:f>IF(A181="","",COUNTIFS('Attendees'!$B$6:$B$205,A181,'Attendees'!$F$6:$F$205,"Alcohol-inclusive",'Attendees'!$A$6:$A$205,"&lt;&gt;"))</x:f>
      </x:c>
      <x:c r="X181" s="9"/>
      <x:c r="Y181" s="13" t="str">
        <x:f>IF(A181="","",IF(COUNTIFS($A$6:$A$205,A181)&gt;1,"Duplicate booking ID",IF(OR(I181&lt;1,I181&gt;'Dashboard'!$E$10,G181&lt;0,H181&lt;0,G181&lt;&gt;INT(G181),H181&lt;&gt;INT(H181)),"Use 1–5 whole passes",IF(OR(C181="",E181="",F181=""),"Complete buyer name, phone and email",IF(NOT(ISNUMBER(M181)),"Set added charges (0 if none)",IF(AND(S181&lt;&gt;"",COUNTIFS($S$6:$S$205,S181)&gt;1),"Duplicate payment ID",IF(AND(O181="Confirmed",OR(P181&lt;&gt;N181,S181="")),"Verify full payment + payment ID",IF(OR(U181&lt;&gt;I181,V181&lt;&gt;G181,W181&lt;&gt;H181),"Complete matching attendee details",""))))))))</x:f>
      </x:c>
    </x:row>
    <x:row r="182" ht="22" customHeight="1">
      <x:c r="A182" s="9"/>
      <x:c r="B182" s="18"/>
      <x:c r="C182" s="9"/>
      <x:c r="D182" s="9"/>
      <x:c r="E182" s="19"/>
      <x:c r="F182" s="19"/>
      <x:c r="G182" s="9"/>
      <x:c r="H182" s="9"/>
      <x:c r="I182" s="13" t="str">
        <x:f>IF(A182="","",SUM(G182:H182))</x:f>
      </x:c>
      <x:c r="J182" s="20" t="n">
        <x:v>2999</x:v>
      </x:c>
      <x:c r="K182" s="20" t="n">
        <x:v>3999</x:v>
      </x:c>
      <x:c r="L182" s="14" t="str">
        <x:f>IF(A182="","",G182*J182+H182*K182)</x:f>
      </x:c>
      <x:c r="M182" s="20"/>
      <x:c r="N182" s="14" t="str">
        <x:f>IF(A182="","",IF(ISNUMBER(M182),ROUND(L182+M182,2),"Set added charges"))</x:f>
      </x:c>
      <x:c r="O182" s="9"/>
      <x:c r="P182" s="20"/>
      <x:c r="Q182" s="20"/>
      <x:c r="R182" s="19"/>
      <x:c r="S182" s="19"/>
      <x:c r="T182" s="14" t="str">
        <x:f>IF(A182="","",P182-Q182)</x:f>
      </x:c>
      <x:c r="U182" s="13" t="str">
        <x:f>IF(A182="","",COUNTIFS('Attendees'!$B$6:$B$205,A182,'Attendees'!$A$6:$A$205,"&lt;&gt;"))</x:f>
      </x:c>
      <x:c r="V182" s="13" t="str">
        <x:f>IF(A182="","",COUNTIFS('Attendees'!$B$6:$B$205,A182,'Attendees'!$F$6:$F$205,"Non-alcoholic",'Attendees'!$A$6:$A$205,"&lt;&gt;"))</x:f>
      </x:c>
      <x:c r="W182" s="13" t="str">
        <x:f>IF(A182="","",COUNTIFS('Attendees'!$B$6:$B$205,A182,'Attendees'!$F$6:$F$205,"Alcohol-inclusive",'Attendees'!$A$6:$A$205,"&lt;&gt;"))</x:f>
      </x:c>
      <x:c r="X182" s="9"/>
      <x:c r="Y182" s="13" t="str">
        <x:f>IF(A182="","",IF(COUNTIFS($A$6:$A$205,A182)&gt;1,"Duplicate booking ID",IF(OR(I182&lt;1,I182&gt;'Dashboard'!$E$10,G182&lt;0,H182&lt;0,G182&lt;&gt;INT(G182),H182&lt;&gt;INT(H182)),"Use 1–5 whole passes",IF(OR(C182="",E182="",F182=""),"Complete buyer name, phone and email",IF(NOT(ISNUMBER(M182)),"Set added charges (0 if none)",IF(AND(S182&lt;&gt;"",COUNTIFS($S$6:$S$205,S182)&gt;1),"Duplicate payment ID",IF(AND(O182="Confirmed",OR(P182&lt;&gt;N182,S182="")),"Verify full payment + payment ID",IF(OR(U182&lt;&gt;I182,V182&lt;&gt;G182,W182&lt;&gt;H182),"Complete matching attendee details",""))))))))</x:f>
      </x:c>
    </x:row>
    <x:row r="183" ht="22" customHeight="1">
      <x:c r="A183" s="9"/>
      <x:c r="B183" s="18"/>
      <x:c r="C183" s="9"/>
      <x:c r="D183" s="9"/>
      <x:c r="E183" s="19"/>
      <x:c r="F183" s="19"/>
      <x:c r="G183" s="9"/>
      <x:c r="H183" s="9"/>
      <x:c r="I183" s="13" t="str">
        <x:f>IF(A183="","",SUM(G183:H183))</x:f>
      </x:c>
      <x:c r="J183" s="20" t="n">
        <x:v>2999</x:v>
      </x:c>
      <x:c r="K183" s="20" t="n">
        <x:v>3999</x:v>
      </x:c>
      <x:c r="L183" s="14" t="str">
        <x:f>IF(A183="","",G183*J183+H183*K183)</x:f>
      </x:c>
      <x:c r="M183" s="20"/>
      <x:c r="N183" s="14" t="str">
        <x:f>IF(A183="","",IF(ISNUMBER(M183),ROUND(L183+M183,2),"Set added charges"))</x:f>
      </x:c>
      <x:c r="O183" s="9"/>
      <x:c r="P183" s="20"/>
      <x:c r="Q183" s="20"/>
      <x:c r="R183" s="19"/>
      <x:c r="S183" s="19"/>
      <x:c r="T183" s="14" t="str">
        <x:f>IF(A183="","",P183-Q183)</x:f>
      </x:c>
      <x:c r="U183" s="13" t="str">
        <x:f>IF(A183="","",COUNTIFS('Attendees'!$B$6:$B$205,A183,'Attendees'!$A$6:$A$205,"&lt;&gt;"))</x:f>
      </x:c>
      <x:c r="V183" s="13" t="str">
        <x:f>IF(A183="","",COUNTIFS('Attendees'!$B$6:$B$205,A183,'Attendees'!$F$6:$F$205,"Non-alcoholic",'Attendees'!$A$6:$A$205,"&lt;&gt;"))</x:f>
      </x:c>
      <x:c r="W183" s="13" t="str">
        <x:f>IF(A183="","",COUNTIFS('Attendees'!$B$6:$B$205,A183,'Attendees'!$F$6:$F$205,"Alcohol-inclusive",'Attendees'!$A$6:$A$205,"&lt;&gt;"))</x:f>
      </x:c>
      <x:c r="X183" s="9"/>
      <x:c r="Y183" s="13" t="str">
        <x:f>IF(A183="","",IF(COUNTIFS($A$6:$A$205,A183)&gt;1,"Duplicate booking ID",IF(OR(I183&lt;1,I183&gt;'Dashboard'!$E$10,G183&lt;0,H183&lt;0,G183&lt;&gt;INT(G183),H183&lt;&gt;INT(H183)),"Use 1–5 whole passes",IF(OR(C183="",E183="",F183=""),"Complete buyer name, phone and email",IF(NOT(ISNUMBER(M183)),"Set added charges (0 if none)",IF(AND(S183&lt;&gt;"",COUNTIFS($S$6:$S$205,S183)&gt;1),"Duplicate payment ID",IF(AND(O183="Confirmed",OR(P183&lt;&gt;N183,S183="")),"Verify full payment + payment ID",IF(OR(U183&lt;&gt;I183,V183&lt;&gt;G183,W183&lt;&gt;H183),"Complete matching attendee details",""))))))))</x:f>
      </x:c>
    </x:row>
    <x:row r="184" ht="22" customHeight="1">
      <x:c r="A184" s="9"/>
      <x:c r="B184" s="18"/>
      <x:c r="C184" s="9"/>
      <x:c r="D184" s="9"/>
      <x:c r="E184" s="19"/>
      <x:c r="F184" s="19"/>
      <x:c r="G184" s="9"/>
      <x:c r="H184" s="9"/>
      <x:c r="I184" s="13" t="str">
        <x:f>IF(A184="","",SUM(G184:H184))</x:f>
      </x:c>
      <x:c r="J184" s="20" t="n">
        <x:v>2999</x:v>
      </x:c>
      <x:c r="K184" s="20" t="n">
        <x:v>3999</x:v>
      </x:c>
      <x:c r="L184" s="14" t="str">
        <x:f>IF(A184="","",G184*J184+H184*K184)</x:f>
      </x:c>
      <x:c r="M184" s="20"/>
      <x:c r="N184" s="14" t="str">
        <x:f>IF(A184="","",IF(ISNUMBER(M184),ROUND(L184+M184,2),"Set added charges"))</x:f>
      </x:c>
      <x:c r="O184" s="9"/>
      <x:c r="P184" s="20"/>
      <x:c r="Q184" s="20"/>
      <x:c r="R184" s="19"/>
      <x:c r="S184" s="19"/>
      <x:c r="T184" s="14" t="str">
        <x:f>IF(A184="","",P184-Q184)</x:f>
      </x:c>
      <x:c r="U184" s="13" t="str">
        <x:f>IF(A184="","",COUNTIFS('Attendees'!$B$6:$B$205,A184,'Attendees'!$A$6:$A$205,"&lt;&gt;"))</x:f>
      </x:c>
      <x:c r="V184" s="13" t="str">
        <x:f>IF(A184="","",COUNTIFS('Attendees'!$B$6:$B$205,A184,'Attendees'!$F$6:$F$205,"Non-alcoholic",'Attendees'!$A$6:$A$205,"&lt;&gt;"))</x:f>
      </x:c>
      <x:c r="W184" s="13" t="str">
        <x:f>IF(A184="","",COUNTIFS('Attendees'!$B$6:$B$205,A184,'Attendees'!$F$6:$F$205,"Alcohol-inclusive",'Attendees'!$A$6:$A$205,"&lt;&gt;"))</x:f>
      </x:c>
      <x:c r="X184" s="9"/>
      <x:c r="Y184" s="13" t="str">
        <x:f>IF(A184="","",IF(COUNTIFS($A$6:$A$205,A184)&gt;1,"Duplicate booking ID",IF(OR(I184&lt;1,I184&gt;'Dashboard'!$E$10,G184&lt;0,H184&lt;0,G184&lt;&gt;INT(G184),H184&lt;&gt;INT(H184)),"Use 1–5 whole passes",IF(OR(C184="",E184="",F184=""),"Complete buyer name, phone and email",IF(NOT(ISNUMBER(M184)),"Set added charges (0 if none)",IF(AND(S184&lt;&gt;"",COUNTIFS($S$6:$S$205,S184)&gt;1),"Duplicate payment ID",IF(AND(O184="Confirmed",OR(P184&lt;&gt;N184,S184="")),"Verify full payment + payment ID",IF(OR(U184&lt;&gt;I184,V184&lt;&gt;G184,W184&lt;&gt;H184),"Complete matching attendee details",""))))))))</x:f>
      </x:c>
    </x:row>
    <x:row r="185" ht="22" customHeight="1">
      <x:c r="A185" s="9"/>
      <x:c r="B185" s="18"/>
      <x:c r="C185" s="9"/>
      <x:c r="D185" s="9"/>
      <x:c r="E185" s="19"/>
      <x:c r="F185" s="19"/>
      <x:c r="G185" s="9"/>
      <x:c r="H185" s="9"/>
      <x:c r="I185" s="13" t="str">
        <x:f>IF(A185="","",SUM(G185:H185))</x:f>
      </x:c>
      <x:c r="J185" s="20" t="n">
        <x:v>2999</x:v>
      </x:c>
      <x:c r="K185" s="20" t="n">
        <x:v>3999</x:v>
      </x:c>
      <x:c r="L185" s="14" t="str">
        <x:f>IF(A185="","",G185*J185+H185*K185)</x:f>
      </x:c>
      <x:c r="M185" s="20"/>
      <x:c r="N185" s="14" t="str">
        <x:f>IF(A185="","",IF(ISNUMBER(M185),ROUND(L185+M185,2),"Set added charges"))</x:f>
      </x:c>
      <x:c r="O185" s="9"/>
      <x:c r="P185" s="20"/>
      <x:c r="Q185" s="20"/>
      <x:c r="R185" s="19"/>
      <x:c r="S185" s="19"/>
      <x:c r="T185" s="14" t="str">
        <x:f>IF(A185="","",P185-Q185)</x:f>
      </x:c>
      <x:c r="U185" s="13" t="str">
        <x:f>IF(A185="","",COUNTIFS('Attendees'!$B$6:$B$205,A185,'Attendees'!$A$6:$A$205,"&lt;&gt;"))</x:f>
      </x:c>
      <x:c r="V185" s="13" t="str">
        <x:f>IF(A185="","",COUNTIFS('Attendees'!$B$6:$B$205,A185,'Attendees'!$F$6:$F$205,"Non-alcoholic",'Attendees'!$A$6:$A$205,"&lt;&gt;"))</x:f>
      </x:c>
      <x:c r="W185" s="13" t="str">
        <x:f>IF(A185="","",COUNTIFS('Attendees'!$B$6:$B$205,A185,'Attendees'!$F$6:$F$205,"Alcohol-inclusive",'Attendees'!$A$6:$A$205,"&lt;&gt;"))</x:f>
      </x:c>
      <x:c r="X185" s="9"/>
      <x:c r="Y185" s="13" t="str">
        <x:f>IF(A185="","",IF(COUNTIFS($A$6:$A$205,A185)&gt;1,"Duplicate booking ID",IF(OR(I185&lt;1,I185&gt;'Dashboard'!$E$10,G185&lt;0,H185&lt;0,G185&lt;&gt;INT(G185),H185&lt;&gt;INT(H185)),"Use 1–5 whole passes",IF(OR(C185="",E185="",F185=""),"Complete buyer name, phone and email",IF(NOT(ISNUMBER(M185)),"Set added charges (0 if none)",IF(AND(S185&lt;&gt;"",COUNTIFS($S$6:$S$205,S185)&gt;1),"Duplicate payment ID",IF(AND(O185="Confirmed",OR(P185&lt;&gt;N185,S185="")),"Verify full payment + payment ID",IF(OR(U185&lt;&gt;I185,V185&lt;&gt;G185,W185&lt;&gt;H185),"Complete matching attendee details",""))))))))</x:f>
      </x:c>
    </x:row>
    <x:row r="186" ht="22" customHeight="1">
      <x:c r="A186" s="9"/>
      <x:c r="B186" s="18"/>
      <x:c r="C186" s="9"/>
      <x:c r="D186" s="9"/>
      <x:c r="E186" s="19"/>
      <x:c r="F186" s="19"/>
      <x:c r="G186" s="9"/>
      <x:c r="H186" s="9"/>
      <x:c r="I186" s="13" t="str">
        <x:f>IF(A186="","",SUM(G186:H186))</x:f>
      </x:c>
      <x:c r="J186" s="20" t="n">
        <x:v>2999</x:v>
      </x:c>
      <x:c r="K186" s="20" t="n">
        <x:v>3999</x:v>
      </x:c>
      <x:c r="L186" s="14" t="str">
        <x:f>IF(A186="","",G186*J186+H186*K186)</x:f>
      </x:c>
      <x:c r="M186" s="20"/>
      <x:c r="N186" s="14" t="str">
        <x:f>IF(A186="","",IF(ISNUMBER(M186),ROUND(L186+M186,2),"Set added charges"))</x:f>
      </x:c>
      <x:c r="O186" s="9"/>
      <x:c r="P186" s="20"/>
      <x:c r="Q186" s="20"/>
      <x:c r="R186" s="19"/>
      <x:c r="S186" s="19"/>
      <x:c r="T186" s="14" t="str">
        <x:f>IF(A186="","",P186-Q186)</x:f>
      </x:c>
      <x:c r="U186" s="13" t="str">
        <x:f>IF(A186="","",COUNTIFS('Attendees'!$B$6:$B$205,A186,'Attendees'!$A$6:$A$205,"&lt;&gt;"))</x:f>
      </x:c>
      <x:c r="V186" s="13" t="str">
        <x:f>IF(A186="","",COUNTIFS('Attendees'!$B$6:$B$205,A186,'Attendees'!$F$6:$F$205,"Non-alcoholic",'Attendees'!$A$6:$A$205,"&lt;&gt;"))</x:f>
      </x:c>
      <x:c r="W186" s="13" t="str">
        <x:f>IF(A186="","",COUNTIFS('Attendees'!$B$6:$B$205,A186,'Attendees'!$F$6:$F$205,"Alcohol-inclusive",'Attendees'!$A$6:$A$205,"&lt;&gt;"))</x:f>
      </x:c>
      <x:c r="X186" s="9"/>
      <x:c r="Y186" s="13" t="str">
        <x:f>IF(A186="","",IF(COUNTIFS($A$6:$A$205,A186)&gt;1,"Duplicate booking ID",IF(OR(I186&lt;1,I186&gt;'Dashboard'!$E$10,G186&lt;0,H186&lt;0,G186&lt;&gt;INT(G186),H186&lt;&gt;INT(H186)),"Use 1–5 whole passes",IF(OR(C186="",E186="",F186=""),"Complete buyer name, phone and email",IF(NOT(ISNUMBER(M186)),"Set added charges (0 if none)",IF(AND(S186&lt;&gt;"",COUNTIFS($S$6:$S$205,S186)&gt;1),"Duplicate payment ID",IF(AND(O186="Confirmed",OR(P186&lt;&gt;N186,S186="")),"Verify full payment + payment ID",IF(OR(U186&lt;&gt;I186,V186&lt;&gt;G186,W186&lt;&gt;H186),"Complete matching attendee details",""))))))))</x:f>
      </x:c>
    </x:row>
    <x:row r="187" ht="22" customHeight="1">
      <x:c r="A187" s="9"/>
      <x:c r="B187" s="18"/>
      <x:c r="C187" s="9"/>
      <x:c r="D187" s="9"/>
      <x:c r="E187" s="19"/>
      <x:c r="F187" s="19"/>
      <x:c r="G187" s="9"/>
      <x:c r="H187" s="9"/>
      <x:c r="I187" s="13" t="str">
        <x:f>IF(A187="","",SUM(G187:H187))</x:f>
      </x:c>
      <x:c r="J187" s="20" t="n">
        <x:v>2999</x:v>
      </x:c>
      <x:c r="K187" s="20" t="n">
        <x:v>3999</x:v>
      </x:c>
      <x:c r="L187" s="14" t="str">
        <x:f>IF(A187="","",G187*J187+H187*K187)</x:f>
      </x:c>
      <x:c r="M187" s="20"/>
      <x:c r="N187" s="14" t="str">
        <x:f>IF(A187="","",IF(ISNUMBER(M187),ROUND(L187+M187,2),"Set added charges"))</x:f>
      </x:c>
      <x:c r="O187" s="9"/>
      <x:c r="P187" s="20"/>
      <x:c r="Q187" s="20"/>
      <x:c r="R187" s="19"/>
      <x:c r="S187" s="19"/>
      <x:c r="T187" s="14" t="str">
        <x:f>IF(A187="","",P187-Q187)</x:f>
      </x:c>
      <x:c r="U187" s="13" t="str">
        <x:f>IF(A187="","",COUNTIFS('Attendees'!$B$6:$B$205,A187,'Attendees'!$A$6:$A$205,"&lt;&gt;"))</x:f>
      </x:c>
      <x:c r="V187" s="13" t="str">
        <x:f>IF(A187="","",COUNTIFS('Attendees'!$B$6:$B$205,A187,'Attendees'!$F$6:$F$205,"Non-alcoholic",'Attendees'!$A$6:$A$205,"&lt;&gt;"))</x:f>
      </x:c>
      <x:c r="W187" s="13" t="str">
        <x:f>IF(A187="","",COUNTIFS('Attendees'!$B$6:$B$205,A187,'Attendees'!$F$6:$F$205,"Alcohol-inclusive",'Attendees'!$A$6:$A$205,"&lt;&gt;"))</x:f>
      </x:c>
      <x:c r="X187" s="9"/>
      <x:c r="Y187" s="13" t="str">
        <x:f>IF(A187="","",IF(COUNTIFS($A$6:$A$205,A187)&gt;1,"Duplicate booking ID",IF(OR(I187&lt;1,I187&gt;'Dashboard'!$E$10,G187&lt;0,H187&lt;0,G187&lt;&gt;INT(G187),H187&lt;&gt;INT(H187)),"Use 1–5 whole passes",IF(OR(C187="",E187="",F187=""),"Complete buyer name, phone and email",IF(NOT(ISNUMBER(M187)),"Set added charges (0 if none)",IF(AND(S187&lt;&gt;"",COUNTIFS($S$6:$S$205,S187)&gt;1),"Duplicate payment ID",IF(AND(O187="Confirmed",OR(P187&lt;&gt;N187,S187="")),"Verify full payment + payment ID",IF(OR(U187&lt;&gt;I187,V187&lt;&gt;G187,W187&lt;&gt;H187),"Complete matching attendee details",""))))))))</x:f>
      </x:c>
    </x:row>
    <x:row r="188" ht="22" customHeight="1">
      <x:c r="A188" s="9"/>
      <x:c r="B188" s="18"/>
      <x:c r="C188" s="9"/>
      <x:c r="D188" s="9"/>
      <x:c r="E188" s="19"/>
      <x:c r="F188" s="19"/>
      <x:c r="G188" s="9"/>
      <x:c r="H188" s="9"/>
      <x:c r="I188" s="13" t="str">
        <x:f>IF(A188="","",SUM(G188:H188))</x:f>
      </x:c>
      <x:c r="J188" s="20" t="n">
        <x:v>2999</x:v>
      </x:c>
      <x:c r="K188" s="20" t="n">
        <x:v>3999</x:v>
      </x:c>
      <x:c r="L188" s="14" t="str">
        <x:f>IF(A188="","",G188*J188+H188*K188)</x:f>
      </x:c>
      <x:c r="M188" s="20"/>
      <x:c r="N188" s="14" t="str">
        <x:f>IF(A188="","",IF(ISNUMBER(M188),ROUND(L188+M188,2),"Set added charges"))</x:f>
      </x:c>
      <x:c r="O188" s="9"/>
      <x:c r="P188" s="20"/>
      <x:c r="Q188" s="20"/>
      <x:c r="R188" s="19"/>
      <x:c r="S188" s="19"/>
      <x:c r="T188" s="14" t="str">
        <x:f>IF(A188="","",P188-Q188)</x:f>
      </x:c>
      <x:c r="U188" s="13" t="str">
        <x:f>IF(A188="","",COUNTIFS('Attendees'!$B$6:$B$205,A188,'Attendees'!$A$6:$A$205,"&lt;&gt;"))</x:f>
      </x:c>
      <x:c r="V188" s="13" t="str">
        <x:f>IF(A188="","",COUNTIFS('Attendees'!$B$6:$B$205,A188,'Attendees'!$F$6:$F$205,"Non-alcoholic",'Attendees'!$A$6:$A$205,"&lt;&gt;"))</x:f>
      </x:c>
      <x:c r="W188" s="13" t="str">
        <x:f>IF(A188="","",COUNTIFS('Attendees'!$B$6:$B$205,A188,'Attendees'!$F$6:$F$205,"Alcohol-inclusive",'Attendees'!$A$6:$A$205,"&lt;&gt;"))</x:f>
      </x:c>
      <x:c r="X188" s="9"/>
      <x:c r="Y188" s="13" t="str">
        <x:f>IF(A188="","",IF(COUNTIFS($A$6:$A$205,A188)&gt;1,"Duplicate booking ID",IF(OR(I188&lt;1,I188&gt;'Dashboard'!$E$10,G188&lt;0,H188&lt;0,G188&lt;&gt;INT(G188),H188&lt;&gt;INT(H188)),"Use 1–5 whole passes",IF(OR(C188="",E188="",F188=""),"Complete buyer name, phone and email",IF(NOT(ISNUMBER(M188)),"Set added charges (0 if none)",IF(AND(S188&lt;&gt;"",COUNTIFS($S$6:$S$205,S188)&gt;1),"Duplicate payment ID",IF(AND(O188="Confirmed",OR(P188&lt;&gt;N188,S188="")),"Verify full payment + payment ID",IF(OR(U188&lt;&gt;I188,V188&lt;&gt;G188,W188&lt;&gt;H188),"Complete matching attendee details",""))))))))</x:f>
      </x:c>
    </x:row>
    <x:row r="189" ht="22" customHeight="1">
      <x:c r="A189" s="9"/>
      <x:c r="B189" s="18"/>
      <x:c r="C189" s="9"/>
      <x:c r="D189" s="9"/>
      <x:c r="E189" s="19"/>
      <x:c r="F189" s="19"/>
      <x:c r="G189" s="9"/>
      <x:c r="H189" s="9"/>
      <x:c r="I189" s="13" t="str">
        <x:f>IF(A189="","",SUM(G189:H189))</x:f>
      </x:c>
      <x:c r="J189" s="20" t="n">
        <x:v>2999</x:v>
      </x:c>
      <x:c r="K189" s="20" t="n">
        <x:v>3999</x:v>
      </x:c>
      <x:c r="L189" s="14" t="str">
        <x:f>IF(A189="","",G189*J189+H189*K189)</x:f>
      </x:c>
      <x:c r="M189" s="20"/>
      <x:c r="N189" s="14" t="str">
        <x:f>IF(A189="","",IF(ISNUMBER(M189),ROUND(L189+M189,2),"Set added charges"))</x:f>
      </x:c>
      <x:c r="O189" s="9"/>
      <x:c r="P189" s="20"/>
      <x:c r="Q189" s="20"/>
      <x:c r="R189" s="19"/>
      <x:c r="S189" s="19"/>
      <x:c r="T189" s="14" t="str">
        <x:f>IF(A189="","",P189-Q189)</x:f>
      </x:c>
      <x:c r="U189" s="13" t="str">
        <x:f>IF(A189="","",COUNTIFS('Attendees'!$B$6:$B$205,A189,'Attendees'!$A$6:$A$205,"&lt;&gt;"))</x:f>
      </x:c>
      <x:c r="V189" s="13" t="str">
        <x:f>IF(A189="","",COUNTIFS('Attendees'!$B$6:$B$205,A189,'Attendees'!$F$6:$F$205,"Non-alcoholic",'Attendees'!$A$6:$A$205,"&lt;&gt;"))</x:f>
      </x:c>
      <x:c r="W189" s="13" t="str">
        <x:f>IF(A189="","",COUNTIFS('Attendees'!$B$6:$B$205,A189,'Attendees'!$F$6:$F$205,"Alcohol-inclusive",'Attendees'!$A$6:$A$205,"&lt;&gt;"))</x:f>
      </x:c>
      <x:c r="X189" s="9"/>
      <x:c r="Y189" s="13" t="str">
        <x:f>IF(A189="","",IF(COUNTIFS($A$6:$A$205,A189)&gt;1,"Duplicate booking ID",IF(OR(I189&lt;1,I189&gt;'Dashboard'!$E$10,G189&lt;0,H189&lt;0,G189&lt;&gt;INT(G189),H189&lt;&gt;INT(H189)),"Use 1–5 whole passes",IF(OR(C189="",E189="",F189=""),"Complete buyer name, phone and email",IF(NOT(ISNUMBER(M189)),"Set added charges (0 if none)",IF(AND(S189&lt;&gt;"",COUNTIFS($S$6:$S$205,S189)&gt;1),"Duplicate payment ID",IF(AND(O189="Confirmed",OR(P189&lt;&gt;N189,S189="")),"Verify full payment + payment ID",IF(OR(U189&lt;&gt;I189,V189&lt;&gt;G189,W189&lt;&gt;H189),"Complete matching attendee details",""))))))))</x:f>
      </x:c>
    </x:row>
    <x:row r="190" ht="22" customHeight="1">
      <x:c r="A190" s="9"/>
      <x:c r="B190" s="18"/>
      <x:c r="C190" s="9"/>
      <x:c r="D190" s="9"/>
      <x:c r="E190" s="19"/>
      <x:c r="F190" s="19"/>
      <x:c r="G190" s="9"/>
      <x:c r="H190" s="9"/>
      <x:c r="I190" s="13" t="str">
        <x:f>IF(A190="","",SUM(G190:H190))</x:f>
      </x:c>
      <x:c r="J190" s="20" t="n">
        <x:v>2999</x:v>
      </x:c>
      <x:c r="K190" s="20" t="n">
        <x:v>3999</x:v>
      </x:c>
      <x:c r="L190" s="14" t="str">
        <x:f>IF(A190="","",G190*J190+H190*K190)</x:f>
      </x:c>
      <x:c r="M190" s="20"/>
      <x:c r="N190" s="14" t="str">
        <x:f>IF(A190="","",IF(ISNUMBER(M190),ROUND(L190+M190,2),"Set added charges"))</x:f>
      </x:c>
      <x:c r="O190" s="9"/>
      <x:c r="P190" s="20"/>
      <x:c r="Q190" s="20"/>
      <x:c r="R190" s="19"/>
      <x:c r="S190" s="19"/>
      <x:c r="T190" s="14" t="str">
        <x:f>IF(A190="","",P190-Q190)</x:f>
      </x:c>
      <x:c r="U190" s="13" t="str">
        <x:f>IF(A190="","",COUNTIFS('Attendees'!$B$6:$B$205,A190,'Attendees'!$A$6:$A$205,"&lt;&gt;"))</x:f>
      </x:c>
      <x:c r="V190" s="13" t="str">
        <x:f>IF(A190="","",COUNTIFS('Attendees'!$B$6:$B$205,A190,'Attendees'!$F$6:$F$205,"Non-alcoholic",'Attendees'!$A$6:$A$205,"&lt;&gt;"))</x:f>
      </x:c>
      <x:c r="W190" s="13" t="str">
        <x:f>IF(A190="","",COUNTIFS('Attendees'!$B$6:$B$205,A190,'Attendees'!$F$6:$F$205,"Alcohol-inclusive",'Attendees'!$A$6:$A$205,"&lt;&gt;"))</x:f>
      </x:c>
      <x:c r="X190" s="9"/>
      <x:c r="Y190" s="13" t="str">
        <x:f>IF(A190="","",IF(COUNTIFS($A$6:$A$205,A190)&gt;1,"Duplicate booking ID",IF(OR(I190&lt;1,I190&gt;'Dashboard'!$E$10,G190&lt;0,H190&lt;0,G190&lt;&gt;INT(G190),H190&lt;&gt;INT(H190)),"Use 1–5 whole passes",IF(OR(C190="",E190="",F190=""),"Complete buyer name, phone and email",IF(NOT(ISNUMBER(M190)),"Set added charges (0 if none)",IF(AND(S190&lt;&gt;"",COUNTIFS($S$6:$S$205,S190)&gt;1),"Duplicate payment ID",IF(AND(O190="Confirmed",OR(P190&lt;&gt;N190,S190="")),"Verify full payment + payment ID",IF(OR(U190&lt;&gt;I190,V190&lt;&gt;G190,W190&lt;&gt;H190),"Complete matching attendee details",""))))))))</x:f>
      </x:c>
    </x:row>
    <x:row r="191" ht="22" customHeight="1">
      <x:c r="A191" s="9"/>
      <x:c r="B191" s="18"/>
      <x:c r="C191" s="9"/>
      <x:c r="D191" s="9"/>
      <x:c r="E191" s="19"/>
      <x:c r="F191" s="19"/>
      <x:c r="G191" s="9"/>
      <x:c r="H191" s="9"/>
      <x:c r="I191" s="13" t="str">
        <x:f>IF(A191="","",SUM(G191:H191))</x:f>
      </x:c>
      <x:c r="J191" s="20" t="n">
        <x:v>2999</x:v>
      </x:c>
      <x:c r="K191" s="20" t="n">
        <x:v>3999</x:v>
      </x:c>
      <x:c r="L191" s="14" t="str">
        <x:f>IF(A191="","",G191*J191+H191*K191)</x:f>
      </x:c>
      <x:c r="M191" s="20"/>
      <x:c r="N191" s="14" t="str">
        <x:f>IF(A191="","",IF(ISNUMBER(M191),ROUND(L191+M191,2),"Set added charges"))</x:f>
      </x:c>
      <x:c r="O191" s="9"/>
      <x:c r="P191" s="20"/>
      <x:c r="Q191" s="20"/>
      <x:c r="R191" s="19"/>
      <x:c r="S191" s="19"/>
      <x:c r="T191" s="14" t="str">
        <x:f>IF(A191="","",P191-Q191)</x:f>
      </x:c>
      <x:c r="U191" s="13" t="str">
        <x:f>IF(A191="","",COUNTIFS('Attendees'!$B$6:$B$205,A191,'Attendees'!$A$6:$A$205,"&lt;&gt;"))</x:f>
      </x:c>
      <x:c r="V191" s="13" t="str">
        <x:f>IF(A191="","",COUNTIFS('Attendees'!$B$6:$B$205,A191,'Attendees'!$F$6:$F$205,"Non-alcoholic",'Attendees'!$A$6:$A$205,"&lt;&gt;"))</x:f>
      </x:c>
      <x:c r="W191" s="13" t="str">
        <x:f>IF(A191="","",COUNTIFS('Attendees'!$B$6:$B$205,A191,'Attendees'!$F$6:$F$205,"Alcohol-inclusive",'Attendees'!$A$6:$A$205,"&lt;&gt;"))</x:f>
      </x:c>
      <x:c r="X191" s="9"/>
      <x:c r="Y191" s="13" t="str">
        <x:f>IF(A191="","",IF(COUNTIFS($A$6:$A$205,A191)&gt;1,"Duplicate booking ID",IF(OR(I191&lt;1,I191&gt;'Dashboard'!$E$10,G191&lt;0,H191&lt;0,G191&lt;&gt;INT(G191),H191&lt;&gt;INT(H191)),"Use 1–5 whole passes",IF(OR(C191="",E191="",F191=""),"Complete buyer name, phone and email",IF(NOT(ISNUMBER(M191)),"Set added charges (0 if none)",IF(AND(S191&lt;&gt;"",COUNTIFS($S$6:$S$205,S191)&gt;1),"Duplicate payment ID",IF(AND(O191="Confirmed",OR(P191&lt;&gt;N191,S191="")),"Verify full payment + payment ID",IF(OR(U191&lt;&gt;I191,V191&lt;&gt;G191,W191&lt;&gt;H191),"Complete matching attendee details",""))))))))</x:f>
      </x:c>
    </x:row>
    <x:row r="192" ht="22" customHeight="1">
      <x:c r="A192" s="9"/>
      <x:c r="B192" s="18"/>
      <x:c r="C192" s="9"/>
      <x:c r="D192" s="9"/>
      <x:c r="E192" s="19"/>
      <x:c r="F192" s="19"/>
      <x:c r="G192" s="9"/>
      <x:c r="H192" s="9"/>
      <x:c r="I192" s="13" t="str">
        <x:f>IF(A192="","",SUM(G192:H192))</x:f>
      </x:c>
      <x:c r="J192" s="20" t="n">
        <x:v>2999</x:v>
      </x:c>
      <x:c r="K192" s="20" t="n">
        <x:v>3999</x:v>
      </x:c>
      <x:c r="L192" s="14" t="str">
        <x:f>IF(A192="","",G192*J192+H192*K192)</x:f>
      </x:c>
      <x:c r="M192" s="20"/>
      <x:c r="N192" s="14" t="str">
        <x:f>IF(A192="","",IF(ISNUMBER(M192),ROUND(L192+M192,2),"Set added charges"))</x:f>
      </x:c>
      <x:c r="O192" s="9"/>
      <x:c r="P192" s="20"/>
      <x:c r="Q192" s="20"/>
      <x:c r="R192" s="19"/>
      <x:c r="S192" s="19"/>
      <x:c r="T192" s="14" t="str">
        <x:f>IF(A192="","",P192-Q192)</x:f>
      </x:c>
      <x:c r="U192" s="13" t="str">
        <x:f>IF(A192="","",COUNTIFS('Attendees'!$B$6:$B$205,A192,'Attendees'!$A$6:$A$205,"&lt;&gt;"))</x:f>
      </x:c>
      <x:c r="V192" s="13" t="str">
        <x:f>IF(A192="","",COUNTIFS('Attendees'!$B$6:$B$205,A192,'Attendees'!$F$6:$F$205,"Non-alcoholic",'Attendees'!$A$6:$A$205,"&lt;&gt;"))</x:f>
      </x:c>
      <x:c r="W192" s="13" t="str">
        <x:f>IF(A192="","",COUNTIFS('Attendees'!$B$6:$B$205,A192,'Attendees'!$F$6:$F$205,"Alcohol-inclusive",'Attendees'!$A$6:$A$205,"&lt;&gt;"))</x:f>
      </x:c>
      <x:c r="X192" s="9"/>
      <x:c r="Y192" s="13" t="str">
        <x:f>IF(A192="","",IF(COUNTIFS($A$6:$A$205,A192)&gt;1,"Duplicate booking ID",IF(OR(I192&lt;1,I192&gt;'Dashboard'!$E$10,G192&lt;0,H192&lt;0,G192&lt;&gt;INT(G192),H192&lt;&gt;INT(H192)),"Use 1–5 whole passes",IF(OR(C192="",E192="",F192=""),"Complete buyer name, phone and email",IF(NOT(ISNUMBER(M192)),"Set added charges (0 if none)",IF(AND(S192&lt;&gt;"",COUNTIFS($S$6:$S$205,S192)&gt;1),"Duplicate payment ID",IF(AND(O192="Confirmed",OR(P192&lt;&gt;N192,S192="")),"Verify full payment + payment ID",IF(OR(U192&lt;&gt;I192,V192&lt;&gt;G192,W192&lt;&gt;H192),"Complete matching attendee details",""))))))))</x:f>
      </x:c>
    </x:row>
    <x:row r="193" ht="22" customHeight="1">
      <x:c r="A193" s="9"/>
      <x:c r="B193" s="18"/>
      <x:c r="C193" s="9"/>
      <x:c r="D193" s="9"/>
      <x:c r="E193" s="19"/>
      <x:c r="F193" s="19"/>
      <x:c r="G193" s="9"/>
      <x:c r="H193" s="9"/>
      <x:c r="I193" s="13" t="str">
        <x:f>IF(A193="","",SUM(G193:H193))</x:f>
      </x:c>
      <x:c r="J193" s="20" t="n">
        <x:v>2999</x:v>
      </x:c>
      <x:c r="K193" s="20" t="n">
        <x:v>3999</x:v>
      </x:c>
      <x:c r="L193" s="14" t="str">
        <x:f>IF(A193="","",G193*J193+H193*K193)</x:f>
      </x:c>
      <x:c r="M193" s="20"/>
      <x:c r="N193" s="14" t="str">
        <x:f>IF(A193="","",IF(ISNUMBER(M193),ROUND(L193+M193,2),"Set added charges"))</x:f>
      </x:c>
      <x:c r="O193" s="9"/>
      <x:c r="P193" s="20"/>
      <x:c r="Q193" s="20"/>
      <x:c r="R193" s="19"/>
      <x:c r="S193" s="19"/>
      <x:c r="T193" s="14" t="str">
        <x:f>IF(A193="","",P193-Q193)</x:f>
      </x:c>
      <x:c r="U193" s="13" t="str">
        <x:f>IF(A193="","",COUNTIFS('Attendees'!$B$6:$B$205,A193,'Attendees'!$A$6:$A$205,"&lt;&gt;"))</x:f>
      </x:c>
      <x:c r="V193" s="13" t="str">
        <x:f>IF(A193="","",COUNTIFS('Attendees'!$B$6:$B$205,A193,'Attendees'!$F$6:$F$205,"Non-alcoholic",'Attendees'!$A$6:$A$205,"&lt;&gt;"))</x:f>
      </x:c>
      <x:c r="W193" s="13" t="str">
        <x:f>IF(A193="","",COUNTIFS('Attendees'!$B$6:$B$205,A193,'Attendees'!$F$6:$F$205,"Alcohol-inclusive",'Attendees'!$A$6:$A$205,"&lt;&gt;"))</x:f>
      </x:c>
      <x:c r="X193" s="9"/>
      <x:c r="Y193" s="13" t="str">
        <x:f>IF(A193="","",IF(COUNTIFS($A$6:$A$205,A193)&gt;1,"Duplicate booking ID",IF(OR(I193&lt;1,I193&gt;'Dashboard'!$E$10,G193&lt;0,H193&lt;0,G193&lt;&gt;INT(G193),H193&lt;&gt;INT(H193)),"Use 1–5 whole passes",IF(OR(C193="",E193="",F193=""),"Complete buyer name, phone and email",IF(NOT(ISNUMBER(M193)),"Set added charges (0 if none)",IF(AND(S193&lt;&gt;"",COUNTIFS($S$6:$S$205,S193)&gt;1),"Duplicate payment ID",IF(AND(O193="Confirmed",OR(P193&lt;&gt;N193,S193="")),"Verify full payment + payment ID",IF(OR(U193&lt;&gt;I193,V193&lt;&gt;G193,W193&lt;&gt;H193),"Complete matching attendee details",""))))))))</x:f>
      </x:c>
    </x:row>
    <x:row r="194" ht="22" customHeight="1">
      <x:c r="A194" s="9"/>
      <x:c r="B194" s="18"/>
      <x:c r="C194" s="9"/>
      <x:c r="D194" s="9"/>
      <x:c r="E194" s="19"/>
      <x:c r="F194" s="19"/>
      <x:c r="G194" s="9"/>
      <x:c r="H194" s="9"/>
      <x:c r="I194" s="13" t="str">
        <x:f>IF(A194="","",SUM(G194:H194))</x:f>
      </x:c>
      <x:c r="J194" s="20" t="n">
        <x:v>2999</x:v>
      </x:c>
      <x:c r="K194" s="20" t="n">
        <x:v>3999</x:v>
      </x:c>
      <x:c r="L194" s="14" t="str">
        <x:f>IF(A194="","",G194*J194+H194*K194)</x:f>
      </x:c>
      <x:c r="M194" s="20"/>
      <x:c r="N194" s="14" t="str">
        <x:f>IF(A194="","",IF(ISNUMBER(M194),ROUND(L194+M194,2),"Set added charges"))</x:f>
      </x:c>
      <x:c r="O194" s="9"/>
      <x:c r="P194" s="20"/>
      <x:c r="Q194" s="20"/>
      <x:c r="R194" s="19"/>
      <x:c r="S194" s="19"/>
      <x:c r="T194" s="14" t="str">
        <x:f>IF(A194="","",P194-Q194)</x:f>
      </x:c>
      <x:c r="U194" s="13" t="str">
        <x:f>IF(A194="","",COUNTIFS('Attendees'!$B$6:$B$205,A194,'Attendees'!$A$6:$A$205,"&lt;&gt;"))</x:f>
      </x:c>
      <x:c r="V194" s="13" t="str">
        <x:f>IF(A194="","",COUNTIFS('Attendees'!$B$6:$B$205,A194,'Attendees'!$F$6:$F$205,"Non-alcoholic",'Attendees'!$A$6:$A$205,"&lt;&gt;"))</x:f>
      </x:c>
      <x:c r="W194" s="13" t="str">
        <x:f>IF(A194="","",COUNTIFS('Attendees'!$B$6:$B$205,A194,'Attendees'!$F$6:$F$205,"Alcohol-inclusive",'Attendees'!$A$6:$A$205,"&lt;&gt;"))</x:f>
      </x:c>
      <x:c r="X194" s="9"/>
      <x:c r="Y194" s="13" t="str">
        <x:f>IF(A194="","",IF(COUNTIFS($A$6:$A$205,A194)&gt;1,"Duplicate booking ID",IF(OR(I194&lt;1,I194&gt;'Dashboard'!$E$10,G194&lt;0,H194&lt;0,G194&lt;&gt;INT(G194),H194&lt;&gt;INT(H194)),"Use 1–5 whole passes",IF(OR(C194="",E194="",F194=""),"Complete buyer name, phone and email",IF(NOT(ISNUMBER(M194)),"Set added charges (0 if none)",IF(AND(S194&lt;&gt;"",COUNTIFS($S$6:$S$205,S194)&gt;1),"Duplicate payment ID",IF(AND(O194="Confirmed",OR(P194&lt;&gt;N194,S194="")),"Verify full payment + payment ID",IF(OR(U194&lt;&gt;I194,V194&lt;&gt;G194,W194&lt;&gt;H194),"Complete matching attendee details",""))))))))</x:f>
      </x:c>
    </x:row>
    <x:row r="195" ht="22" customHeight="1">
      <x:c r="A195" s="9"/>
      <x:c r="B195" s="18"/>
      <x:c r="C195" s="9"/>
      <x:c r="D195" s="9"/>
      <x:c r="E195" s="19"/>
      <x:c r="F195" s="19"/>
      <x:c r="G195" s="9"/>
      <x:c r="H195" s="9"/>
      <x:c r="I195" s="13" t="str">
        <x:f>IF(A195="","",SUM(G195:H195))</x:f>
      </x:c>
      <x:c r="J195" s="20" t="n">
        <x:v>2999</x:v>
      </x:c>
      <x:c r="K195" s="20" t="n">
        <x:v>3999</x:v>
      </x:c>
      <x:c r="L195" s="14" t="str">
        <x:f>IF(A195="","",G195*J195+H195*K195)</x:f>
      </x:c>
      <x:c r="M195" s="20"/>
      <x:c r="N195" s="14" t="str">
        <x:f>IF(A195="","",IF(ISNUMBER(M195),ROUND(L195+M195,2),"Set added charges"))</x:f>
      </x:c>
      <x:c r="O195" s="9"/>
      <x:c r="P195" s="20"/>
      <x:c r="Q195" s="20"/>
      <x:c r="R195" s="19"/>
      <x:c r="S195" s="19"/>
      <x:c r="T195" s="14" t="str">
        <x:f>IF(A195="","",P195-Q195)</x:f>
      </x:c>
      <x:c r="U195" s="13" t="str">
        <x:f>IF(A195="","",COUNTIFS('Attendees'!$B$6:$B$205,A195,'Attendees'!$A$6:$A$205,"&lt;&gt;"))</x:f>
      </x:c>
      <x:c r="V195" s="13" t="str">
        <x:f>IF(A195="","",COUNTIFS('Attendees'!$B$6:$B$205,A195,'Attendees'!$F$6:$F$205,"Non-alcoholic",'Attendees'!$A$6:$A$205,"&lt;&gt;"))</x:f>
      </x:c>
      <x:c r="W195" s="13" t="str">
        <x:f>IF(A195="","",COUNTIFS('Attendees'!$B$6:$B$205,A195,'Attendees'!$F$6:$F$205,"Alcohol-inclusive",'Attendees'!$A$6:$A$205,"&lt;&gt;"))</x:f>
      </x:c>
      <x:c r="X195" s="9"/>
      <x:c r="Y195" s="13" t="str">
        <x:f>IF(A195="","",IF(COUNTIFS($A$6:$A$205,A195)&gt;1,"Duplicate booking ID",IF(OR(I195&lt;1,I195&gt;'Dashboard'!$E$10,G195&lt;0,H195&lt;0,G195&lt;&gt;INT(G195),H195&lt;&gt;INT(H195)),"Use 1–5 whole passes",IF(OR(C195="",E195="",F195=""),"Complete buyer name, phone and email",IF(NOT(ISNUMBER(M195)),"Set added charges (0 if none)",IF(AND(S195&lt;&gt;"",COUNTIFS($S$6:$S$205,S195)&gt;1),"Duplicate payment ID",IF(AND(O195="Confirmed",OR(P195&lt;&gt;N195,S195="")),"Verify full payment + payment ID",IF(OR(U195&lt;&gt;I195,V195&lt;&gt;G195,W195&lt;&gt;H195),"Complete matching attendee details",""))))))))</x:f>
      </x:c>
    </x:row>
    <x:row r="196" ht="22" customHeight="1">
      <x:c r="A196" s="9"/>
      <x:c r="B196" s="18"/>
      <x:c r="C196" s="9"/>
      <x:c r="D196" s="9"/>
      <x:c r="E196" s="19"/>
      <x:c r="F196" s="19"/>
      <x:c r="G196" s="9"/>
      <x:c r="H196" s="9"/>
      <x:c r="I196" s="13" t="str">
        <x:f>IF(A196="","",SUM(G196:H196))</x:f>
      </x:c>
      <x:c r="J196" s="20" t="n">
        <x:v>2999</x:v>
      </x:c>
      <x:c r="K196" s="20" t="n">
        <x:v>3999</x:v>
      </x:c>
      <x:c r="L196" s="14" t="str">
        <x:f>IF(A196="","",G196*J196+H196*K196)</x:f>
      </x:c>
      <x:c r="M196" s="20"/>
      <x:c r="N196" s="14" t="str">
        <x:f>IF(A196="","",IF(ISNUMBER(M196),ROUND(L196+M196,2),"Set added charges"))</x:f>
      </x:c>
      <x:c r="O196" s="9"/>
      <x:c r="P196" s="20"/>
      <x:c r="Q196" s="20"/>
      <x:c r="R196" s="19"/>
      <x:c r="S196" s="19"/>
      <x:c r="T196" s="14" t="str">
        <x:f>IF(A196="","",P196-Q196)</x:f>
      </x:c>
      <x:c r="U196" s="13" t="str">
        <x:f>IF(A196="","",COUNTIFS('Attendees'!$B$6:$B$205,A196,'Attendees'!$A$6:$A$205,"&lt;&gt;"))</x:f>
      </x:c>
      <x:c r="V196" s="13" t="str">
        <x:f>IF(A196="","",COUNTIFS('Attendees'!$B$6:$B$205,A196,'Attendees'!$F$6:$F$205,"Non-alcoholic",'Attendees'!$A$6:$A$205,"&lt;&gt;"))</x:f>
      </x:c>
      <x:c r="W196" s="13" t="str">
        <x:f>IF(A196="","",COUNTIFS('Attendees'!$B$6:$B$205,A196,'Attendees'!$F$6:$F$205,"Alcohol-inclusive",'Attendees'!$A$6:$A$205,"&lt;&gt;"))</x:f>
      </x:c>
      <x:c r="X196" s="9"/>
      <x:c r="Y196" s="13" t="str">
        <x:f>IF(A196="","",IF(COUNTIFS($A$6:$A$205,A196)&gt;1,"Duplicate booking ID",IF(OR(I196&lt;1,I196&gt;'Dashboard'!$E$10,G196&lt;0,H196&lt;0,G196&lt;&gt;INT(G196),H196&lt;&gt;INT(H196)),"Use 1–5 whole passes",IF(OR(C196="",E196="",F196=""),"Complete buyer name, phone and email",IF(NOT(ISNUMBER(M196)),"Set added charges (0 if none)",IF(AND(S196&lt;&gt;"",COUNTIFS($S$6:$S$205,S196)&gt;1),"Duplicate payment ID",IF(AND(O196="Confirmed",OR(P196&lt;&gt;N196,S196="")),"Verify full payment + payment ID",IF(OR(U196&lt;&gt;I196,V196&lt;&gt;G196,W196&lt;&gt;H196),"Complete matching attendee details",""))))))))</x:f>
      </x:c>
    </x:row>
    <x:row r="197" ht="22" customHeight="1">
      <x:c r="A197" s="9"/>
      <x:c r="B197" s="18"/>
      <x:c r="C197" s="9"/>
      <x:c r="D197" s="9"/>
      <x:c r="E197" s="19"/>
      <x:c r="F197" s="19"/>
      <x:c r="G197" s="9"/>
      <x:c r="H197" s="9"/>
      <x:c r="I197" s="13" t="str">
        <x:f>IF(A197="","",SUM(G197:H197))</x:f>
      </x:c>
      <x:c r="J197" s="20" t="n">
        <x:v>2999</x:v>
      </x:c>
      <x:c r="K197" s="20" t="n">
        <x:v>3999</x:v>
      </x:c>
      <x:c r="L197" s="14" t="str">
        <x:f>IF(A197="","",G197*J197+H197*K197)</x:f>
      </x:c>
      <x:c r="M197" s="20"/>
      <x:c r="N197" s="14" t="str">
        <x:f>IF(A197="","",IF(ISNUMBER(M197),ROUND(L197+M197,2),"Set added charges"))</x:f>
      </x:c>
      <x:c r="O197" s="9"/>
      <x:c r="P197" s="20"/>
      <x:c r="Q197" s="20"/>
      <x:c r="R197" s="19"/>
      <x:c r="S197" s="19"/>
      <x:c r="T197" s="14" t="str">
        <x:f>IF(A197="","",P197-Q197)</x:f>
      </x:c>
      <x:c r="U197" s="13" t="str">
        <x:f>IF(A197="","",COUNTIFS('Attendees'!$B$6:$B$205,A197,'Attendees'!$A$6:$A$205,"&lt;&gt;"))</x:f>
      </x:c>
      <x:c r="V197" s="13" t="str">
        <x:f>IF(A197="","",COUNTIFS('Attendees'!$B$6:$B$205,A197,'Attendees'!$F$6:$F$205,"Non-alcoholic",'Attendees'!$A$6:$A$205,"&lt;&gt;"))</x:f>
      </x:c>
      <x:c r="W197" s="13" t="str">
        <x:f>IF(A197="","",COUNTIFS('Attendees'!$B$6:$B$205,A197,'Attendees'!$F$6:$F$205,"Alcohol-inclusive",'Attendees'!$A$6:$A$205,"&lt;&gt;"))</x:f>
      </x:c>
      <x:c r="X197" s="9"/>
      <x:c r="Y197" s="13" t="str">
        <x:f>IF(A197="","",IF(COUNTIFS($A$6:$A$205,A197)&gt;1,"Duplicate booking ID",IF(OR(I197&lt;1,I197&gt;'Dashboard'!$E$10,G197&lt;0,H197&lt;0,G197&lt;&gt;INT(G197),H197&lt;&gt;INT(H197)),"Use 1–5 whole passes",IF(OR(C197="",E197="",F197=""),"Complete buyer name, phone and email",IF(NOT(ISNUMBER(M197)),"Set added charges (0 if none)",IF(AND(S197&lt;&gt;"",COUNTIFS($S$6:$S$205,S197)&gt;1),"Duplicate payment ID",IF(AND(O197="Confirmed",OR(P197&lt;&gt;N197,S197="")),"Verify full payment + payment ID",IF(OR(U197&lt;&gt;I197,V197&lt;&gt;G197,W197&lt;&gt;H197),"Complete matching attendee details",""))))))))</x:f>
      </x:c>
    </x:row>
    <x:row r="198" ht="22" customHeight="1">
      <x:c r="A198" s="9"/>
      <x:c r="B198" s="18"/>
      <x:c r="C198" s="9"/>
      <x:c r="D198" s="9"/>
      <x:c r="E198" s="19"/>
      <x:c r="F198" s="19"/>
      <x:c r="G198" s="9"/>
      <x:c r="H198" s="9"/>
      <x:c r="I198" s="13" t="str">
        <x:f>IF(A198="","",SUM(G198:H198))</x:f>
      </x:c>
      <x:c r="J198" s="20" t="n">
        <x:v>2999</x:v>
      </x:c>
      <x:c r="K198" s="20" t="n">
        <x:v>3999</x:v>
      </x:c>
      <x:c r="L198" s="14" t="str">
        <x:f>IF(A198="","",G198*J198+H198*K198)</x:f>
      </x:c>
      <x:c r="M198" s="20"/>
      <x:c r="N198" s="14" t="str">
        <x:f>IF(A198="","",IF(ISNUMBER(M198),ROUND(L198+M198,2),"Set added charges"))</x:f>
      </x:c>
      <x:c r="O198" s="9"/>
      <x:c r="P198" s="20"/>
      <x:c r="Q198" s="20"/>
      <x:c r="R198" s="19"/>
      <x:c r="S198" s="19"/>
      <x:c r="T198" s="14" t="str">
        <x:f>IF(A198="","",P198-Q198)</x:f>
      </x:c>
      <x:c r="U198" s="13" t="str">
        <x:f>IF(A198="","",COUNTIFS('Attendees'!$B$6:$B$205,A198,'Attendees'!$A$6:$A$205,"&lt;&gt;"))</x:f>
      </x:c>
      <x:c r="V198" s="13" t="str">
        <x:f>IF(A198="","",COUNTIFS('Attendees'!$B$6:$B$205,A198,'Attendees'!$F$6:$F$205,"Non-alcoholic",'Attendees'!$A$6:$A$205,"&lt;&gt;"))</x:f>
      </x:c>
      <x:c r="W198" s="13" t="str">
        <x:f>IF(A198="","",COUNTIFS('Attendees'!$B$6:$B$205,A198,'Attendees'!$F$6:$F$205,"Alcohol-inclusive",'Attendees'!$A$6:$A$205,"&lt;&gt;"))</x:f>
      </x:c>
      <x:c r="X198" s="9"/>
      <x:c r="Y198" s="13" t="str">
        <x:f>IF(A198="","",IF(COUNTIFS($A$6:$A$205,A198)&gt;1,"Duplicate booking ID",IF(OR(I198&lt;1,I198&gt;'Dashboard'!$E$10,G198&lt;0,H198&lt;0,G198&lt;&gt;INT(G198),H198&lt;&gt;INT(H198)),"Use 1–5 whole passes",IF(OR(C198="",E198="",F198=""),"Complete buyer name, phone and email",IF(NOT(ISNUMBER(M198)),"Set added charges (0 if none)",IF(AND(S198&lt;&gt;"",COUNTIFS($S$6:$S$205,S198)&gt;1),"Duplicate payment ID",IF(AND(O198="Confirmed",OR(P198&lt;&gt;N198,S198="")),"Verify full payment + payment ID",IF(OR(U198&lt;&gt;I198,V198&lt;&gt;G198,W198&lt;&gt;H198),"Complete matching attendee details",""))))))))</x:f>
      </x:c>
    </x:row>
    <x:row r="199" ht="22" customHeight="1">
      <x:c r="A199" s="9"/>
      <x:c r="B199" s="18"/>
      <x:c r="C199" s="9"/>
      <x:c r="D199" s="9"/>
      <x:c r="E199" s="19"/>
      <x:c r="F199" s="19"/>
      <x:c r="G199" s="9"/>
      <x:c r="H199" s="9"/>
      <x:c r="I199" s="13" t="str">
        <x:f>IF(A199="","",SUM(G199:H199))</x:f>
      </x:c>
      <x:c r="J199" s="20" t="n">
        <x:v>2999</x:v>
      </x:c>
      <x:c r="K199" s="20" t="n">
        <x:v>3999</x:v>
      </x:c>
      <x:c r="L199" s="14" t="str">
        <x:f>IF(A199="","",G199*J199+H199*K199)</x:f>
      </x:c>
      <x:c r="M199" s="20"/>
      <x:c r="N199" s="14" t="str">
        <x:f>IF(A199="","",IF(ISNUMBER(M199),ROUND(L199+M199,2),"Set added charges"))</x:f>
      </x:c>
      <x:c r="O199" s="9"/>
      <x:c r="P199" s="20"/>
      <x:c r="Q199" s="20"/>
      <x:c r="R199" s="19"/>
      <x:c r="S199" s="19"/>
      <x:c r="T199" s="14" t="str">
        <x:f>IF(A199="","",P199-Q199)</x:f>
      </x:c>
      <x:c r="U199" s="13" t="str">
        <x:f>IF(A199="","",COUNTIFS('Attendees'!$B$6:$B$205,A199,'Attendees'!$A$6:$A$205,"&lt;&gt;"))</x:f>
      </x:c>
      <x:c r="V199" s="13" t="str">
        <x:f>IF(A199="","",COUNTIFS('Attendees'!$B$6:$B$205,A199,'Attendees'!$F$6:$F$205,"Non-alcoholic",'Attendees'!$A$6:$A$205,"&lt;&gt;"))</x:f>
      </x:c>
      <x:c r="W199" s="13" t="str">
        <x:f>IF(A199="","",COUNTIFS('Attendees'!$B$6:$B$205,A199,'Attendees'!$F$6:$F$205,"Alcohol-inclusive",'Attendees'!$A$6:$A$205,"&lt;&gt;"))</x:f>
      </x:c>
      <x:c r="X199" s="9"/>
      <x:c r="Y199" s="13" t="str">
        <x:f>IF(A199="","",IF(COUNTIFS($A$6:$A$205,A199)&gt;1,"Duplicate booking ID",IF(OR(I199&lt;1,I199&gt;'Dashboard'!$E$10,G199&lt;0,H199&lt;0,G199&lt;&gt;INT(G199),H199&lt;&gt;INT(H199)),"Use 1–5 whole passes",IF(OR(C199="",E199="",F199=""),"Complete buyer name, phone and email",IF(NOT(ISNUMBER(M199)),"Set added charges (0 if none)",IF(AND(S199&lt;&gt;"",COUNTIFS($S$6:$S$205,S199)&gt;1),"Duplicate payment ID",IF(AND(O199="Confirmed",OR(P199&lt;&gt;N199,S199="")),"Verify full payment + payment ID",IF(OR(U199&lt;&gt;I199,V199&lt;&gt;G199,W199&lt;&gt;H199),"Complete matching attendee details",""))))))))</x:f>
      </x:c>
    </x:row>
    <x:row r="200" ht="22" customHeight="1">
      <x:c r="A200" s="9"/>
      <x:c r="B200" s="18"/>
      <x:c r="C200" s="9"/>
      <x:c r="D200" s="9"/>
      <x:c r="E200" s="19"/>
      <x:c r="F200" s="19"/>
      <x:c r="G200" s="9"/>
      <x:c r="H200" s="9"/>
      <x:c r="I200" s="13" t="str">
        <x:f>IF(A200="","",SUM(G200:H200))</x:f>
      </x:c>
      <x:c r="J200" s="20" t="n">
        <x:v>2999</x:v>
      </x:c>
      <x:c r="K200" s="20" t="n">
        <x:v>3999</x:v>
      </x:c>
      <x:c r="L200" s="14" t="str">
        <x:f>IF(A200="","",G200*J200+H200*K200)</x:f>
      </x:c>
      <x:c r="M200" s="20"/>
      <x:c r="N200" s="14" t="str">
        <x:f>IF(A200="","",IF(ISNUMBER(M200),ROUND(L200+M200,2),"Set added charges"))</x:f>
      </x:c>
      <x:c r="O200" s="9"/>
      <x:c r="P200" s="20"/>
      <x:c r="Q200" s="20"/>
      <x:c r="R200" s="19"/>
      <x:c r="S200" s="19"/>
      <x:c r="T200" s="14" t="str">
        <x:f>IF(A200="","",P200-Q200)</x:f>
      </x:c>
      <x:c r="U200" s="13" t="str">
        <x:f>IF(A200="","",COUNTIFS('Attendees'!$B$6:$B$205,A200,'Attendees'!$A$6:$A$205,"&lt;&gt;"))</x:f>
      </x:c>
      <x:c r="V200" s="13" t="str">
        <x:f>IF(A200="","",COUNTIFS('Attendees'!$B$6:$B$205,A200,'Attendees'!$F$6:$F$205,"Non-alcoholic",'Attendees'!$A$6:$A$205,"&lt;&gt;"))</x:f>
      </x:c>
      <x:c r="W200" s="13" t="str">
        <x:f>IF(A200="","",COUNTIFS('Attendees'!$B$6:$B$205,A200,'Attendees'!$F$6:$F$205,"Alcohol-inclusive",'Attendees'!$A$6:$A$205,"&lt;&gt;"))</x:f>
      </x:c>
      <x:c r="X200" s="9"/>
      <x:c r="Y200" s="13" t="str">
        <x:f>IF(A200="","",IF(COUNTIFS($A$6:$A$205,A200)&gt;1,"Duplicate booking ID",IF(OR(I200&lt;1,I200&gt;'Dashboard'!$E$10,G200&lt;0,H200&lt;0,G200&lt;&gt;INT(G200),H200&lt;&gt;INT(H200)),"Use 1–5 whole passes",IF(OR(C200="",E200="",F200=""),"Complete buyer name, phone and email",IF(NOT(ISNUMBER(M200)),"Set added charges (0 if none)",IF(AND(S200&lt;&gt;"",COUNTIFS($S$6:$S$205,S200)&gt;1),"Duplicate payment ID",IF(AND(O200="Confirmed",OR(P200&lt;&gt;N200,S200="")),"Verify full payment + payment ID",IF(OR(U200&lt;&gt;I200,V200&lt;&gt;G200,W200&lt;&gt;H200),"Complete matching attendee details",""))))))))</x:f>
      </x:c>
    </x:row>
    <x:row r="201" ht="22" customHeight="1">
      <x:c r="A201" s="9"/>
      <x:c r="B201" s="18"/>
      <x:c r="C201" s="9"/>
      <x:c r="D201" s="9"/>
      <x:c r="E201" s="19"/>
      <x:c r="F201" s="19"/>
      <x:c r="G201" s="9"/>
      <x:c r="H201" s="9"/>
      <x:c r="I201" s="13" t="str">
        <x:f>IF(A201="","",SUM(G201:H201))</x:f>
      </x:c>
      <x:c r="J201" s="20" t="n">
        <x:v>2999</x:v>
      </x:c>
      <x:c r="K201" s="20" t="n">
        <x:v>3999</x:v>
      </x:c>
      <x:c r="L201" s="14" t="str">
        <x:f>IF(A201="","",G201*J201+H201*K201)</x:f>
      </x:c>
      <x:c r="M201" s="20"/>
      <x:c r="N201" s="14" t="str">
        <x:f>IF(A201="","",IF(ISNUMBER(M201),ROUND(L201+M201,2),"Set added charges"))</x:f>
      </x:c>
      <x:c r="O201" s="9"/>
      <x:c r="P201" s="20"/>
      <x:c r="Q201" s="20"/>
      <x:c r="R201" s="19"/>
      <x:c r="S201" s="19"/>
      <x:c r="T201" s="14" t="str">
        <x:f>IF(A201="","",P201-Q201)</x:f>
      </x:c>
      <x:c r="U201" s="13" t="str">
        <x:f>IF(A201="","",COUNTIFS('Attendees'!$B$6:$B$205,A201,'Attendees'!$A$6:$A$205,"&lt;&gt;"))</x:f>
      </x:c>
      <x:c r="V201" s="13" t="str">
        <x:f>IF(A201="","",COUNTIFS('Attendees'!$B$6:$B$205,A201,'Attendees'!$F$6:$F$205,"Non-alcoholic",'Attendees'!$A$6:$A$205,"&lt;&gt;"))</x:f>
      </x:c>
      <x:c r="W201" s="13" t="str">
        <x:f>IF(A201="","",COUNTIFS('Attendees'!$B$6:$B$205,A201,'Attendees'!$F$6:$F$205,"Alcohol-inclusive",'Attendees'!$A$6:$A$205,"&lt;&gt;"))</x:f>
      </x:c>
      <x:c r="X201" s="9"/>
      <x:c r="Y201" s="13" t="str">
        <x:f>IF(A201="","",IF(COUNTIFS($A$6:$A$205,A201)&gt;1,"Duplicate booking ID",IF(OR(I201&lt;1,I201&gt;'Dashboard'!$E$10,G201&lt;0,H201&lt;0,G201&lt;&gt;INT(G201),H201&lt;&gt;INT(H201)),"Use 1–5 whole passes",IF(OR(C201="",E201="",F201=""),"Complete buyer name, phone and email",IF(NOT(ISNUMBER(M201)),"Set added charges (0 if none)",IF(AND(S201&lt;&gt;"",COUNTIFS($S$6:$S$205,S201)&gt;1),"Duplicate payment ID",IF(AND(O201="Confirmed",OR(P201&lt;&gt;N201,S201="")),"Verify full payment + payment ID",IF(OR(U201&lt;&gt;I201,V201&lt;&gt;G201,W201&lt;&gt;H201),"Complete matching attendee details",""))))))))</x:f>
      </x:c>
    </x:row>
    <x:row r="202" ht="22" customHeight="1">
      <x:c r="A202" s="9"/>
      <x:c r="B202" s="18"/>
      <x:c r="C202" s="9"/>
      <x:c r="D202" s="9"/>
      <x:c r="E202" s="19"/>
      <x:c r="F202" s="19"/>
      <x:c r="G202" s="9"/>
      <x:c r="H202" s="9"/>
      <x:c r="I202" s="13" t="str">
        <x:f>IF(A202="","",SUM(G202:H202))</x:f>
      </x:c>
      <x:c r="J202" s="20" t="n">
        <x:v>2999</x:v>
      </x:c>
      <x:c r="K202" s="20" t="n">
        <x:v>3999</x:v>
      </x:c>
      <x:c r="L202" s="14" t="str">
        <x:f>IF(A202="","",G202*J202+H202*K202)</x:f>
      </x:c>
      <x:c r="M202" s="20"/>
      <x:c r="N202" s="14" t="str">
        <x:f>IF(A202="","",IF(ISNUMBER(M202),ROUND(L202+M202,2),"Set added charges"))</x:f>
      </x:c>
      <x:c r="O202" s="9"/>
      <x:c r="P202" s="20"/>
      <x:c r="Q202" s="20"/>
      <x:c r="R202" s="19"/>
      <x:c r="S202" s="19"/>
      <x:c r="T202" s="14" t="str">
        <x:f>IF(A202="","",P202-Q202)</x:f>
      </x:c>
      <x:c r="U202" s="13" t="str">
        <x:f>IF(A202="","",COUNTIFS('Attendees'!$B$6:$B$205,A202,'Attendees'!$A$6:$A$205,"&lt;&gt;"))</x:f>
      </x:c>
      <x:c r="V202" s="13" t="str">
        <x:f>IF(A202="","",COUNTIFS('Attendees'!$B$6:$B$205,A202,'Attendees'!$F$6:$F$205,"Non-alcoholic",'Attendees'!$A$6:$A$205,"&lt;&gt;"))</x:f>
      </x:c>
      <x:c r="W202" s="13" t="str">
        <x:f>IF(A202="","",COUNTIFS('Attendees'!$B$6:$B$205,A202,'Attendees'!$F$6:$F$205,"Alcohol-inclusive",'Attendees'!$A$6:$A$205,"&lt;&gt;"))</x:f>
      </x:c>
      <x:c r="X202" s="9"/>
      <x:c r="Y202" s="13" t="str">
        <x:f>IF(A202="","",IF(COUNTIFS($A$6:$A$205,A202)&gt;1,"Duplicate booking ID",IF(OR(I202&lt;1,I202&gt;'Dashboard'!$E$10,G202&lt;0,H202&lt;0,G202&lt;&gt;INT(G202),H202&lt;&gt;INT(H202)),"Use 1–5 whole passes",IF(OR(C202="",E202="",F202=""),"Complete buyer name, phone and email",IF(NOT(ISNUMBER(M202)),"Set added charges (0 if none)",IF(AND(S202&lt;&gt;"",COUNTIFS($S$6:$S$205,S202)&gt;1),"Duplicate payment ID",IF(AND(O202="Confirmed",OR(P202&lt;&gt;N202,S202="")),"Verify full payment + payment ID",IF(OR(U202&lt;&gt;I202,V202&lt;&gt;G202,W202&lt;&gt;H202),"Complete matching attendee details",""))))))))</x:f>
      </x:c>
    </x:row>
    <x:row r="203" ht="22" customHeight="1">
      <x:c r="A203" s="9"/>
      <x:c r="B203" s="18"/>
      <x:c r="C203" s="9"/>
      <x:c r="D203" s="9"/>
      <x:c r="E203" s="19"/>
      <x:c r="F203" s="19"/>
      <x:c r="G203" s="9"/>
      <x:c r="H203" s="9"/>
      <x:c r="I203" s="13" t="str">
        <x:f>IF(A203="","",SUM(G203:H203))</x:f>
      </x:c>
      <x:c r="J203" s="20" t="n">
        <x:v>2999</x:v>
      </x:c>
      <x:c r="K203" s="20" t="n">
        <x:v>3999</x:v>
      </x:c>
      <x:c r="L203" s="14" t="str">
        <x:f>IF(A203="","",G203*J203+H203*K203)</x:f>
      </x:c>
      <x:c r="M203" s="20"/>
      <x:c r="N203" s="14" t="str">
        <x:f>IF(A203="","",IF(ISNUMBER(M203),ROUND(L203+M203,2),"Set added charges"))</x:f>
      </x:c>
      <x:c r="O203" s="9"/>
      <x:c r="P203" s="20"/>
      <x:c r="Q203" s="20"/>
      <x:c r="R203" s="19"/>
      <x:c r="S203" s="19"/>
      <x:c r="T203" s="14" t="str">
        <x:f>IF(A203="","",P203-Q203)</x:f>
      </x:c>
      <x:c r="U203" s="13" t="str">
        <x:f>IF(A203="","",COUNTIFS('Attendees'!$B$6:$B$205,A203,'Attendees'!$A$6:$A$205,"&lt;&gt;"))</x:f>
      </x:c>
      <x:c r="V203" s="13" t="str">
        <x:f>IF(A203="","",COUNTIFS('Attendees'!$B$6:$B$205,A203,'Attendees'!$F$6:$F$205,"Non-alcoholic",'Attendees'!$A$6:$A$205,"&lt;&gt;"))</x:f>
      </x:c>
      <x:c r="W203" s="13" t="str">
        <x:f>IF(A203="","",COUNTIFS('Attendees'!$B$6:$B$205,A203,'Attendees'!$F$6:$F$205,"Alcohol-inclusive",'Attendees'!$A$6:$A$205,"&lt;&gt;"))</x:f>
      </x:c>
      <x:c r="X203" s="9"/>
      <x:c r="Y203" s="13" t="str">
        <x:f>IF(A203="","",IF(COUNTIFS($A$6:$A$205,A203)&gt;1,"Duplicate booking ID",IF(OR(I203&lt;1,I203&gt;'Dashboard'!$E$10,G203&lt;0,H203&lt;0,G203&lt;&gt;INT(G203),H203&lt;&gt;INT(H203)),"Use 1–5 whole passes",IF(OR(C203="",E203="",F203=""),"Complete buyer name, phone and email",IF(NOT(ISNUMBER(M203)),"Set added charges (0 if none)",IF(AND(S203&lt;&gt;"",COUNTIFS($S$6:$S$205,S203)&gt;1),"Duplicate payment ID",IF(AND(O203="Confirmed",OR(P203&lt;&gt;N203,S203="")),"Verify full payment + payment ID",IF(OR(U203&lt;&gt;I203,V203&lt;&gt;G203,W203&lt;&gt;H203),"Complete matching attendee details",""))))))))</x:f>
      </x:c>
    </x:row>
    <x:row r="204" ht="22" customHeight="1">
      <x:c r="A204" s="9"/>
      <x:c r="B204" s="18"/>
      <x:c r="C204" s="9"/>
      <x:c r="D204" s="9"/>
      <x:c r="E204" s="19"/>
      <x:c r="F204" s="19"/>
      <x:c r="G204" s="9"/>
      <x:c r="H204" s="9"/>
      <x:c r="I204" s="13" t="str">
        <x:f>IF(A204="","",SUM(G204:H204))</x:f>
      </x:c>
      <x:c r="J204" s="20" t="n">
        <x:v>2999</x:v>
      </x:c>
      <x:c r="K204" s="20" t="n">
        <x:v>3999</x:v>
      </x:c>
      <x:c r="L204" s="14" t="str">
        <x:f>IF(A204="","",G204*J204+H204*K204)</x:f>
      </x:c>
      <x:c r="M204" s="20"/>
      <x:c r="N204" s="14" t="str">
        <x:f>IF(A204="","",IF(ISNUMBER(M204),ROUND(L204+M204,2),"Set added charges"))</x:f>
      </x:c>
      <x:c r="O204" s="9"/>
      <x:c r="P204" s="20"/>
      <x:c r="Q204" s="20"/>
      <x:c r="R204" s="19"/>
      <x:c r="S204" s="19"/>
      <x:c r="T204" s="14" t="str">
        <x:f>IF(A204="","",P204-Q204)</x:f>
      </x:c>
      <x:c r="U204" s="13" t="str">
        <x:f>IF(A204="","",COUNTIFS('Attendees'!$B$6:$B$205,A204,'Attendees'!$A$6:$A$205,"&lt;&gt;"))</x:f>
      </x:c>
      <x:c r="V204" s="13" t="str">
        <x:f>IF(A204="","",COUNTIFS('Attendees'!$B$6:$B$205,A204,'Attendees'!$F$6:$F$205,"Non-alcoholic",'Attendees'!$A$6:$A$205,"&lt;&gt;"))</x:f>
      </x:c>
      <x:c r="W204" s="13" t="str">
        <x:f>IF(A204="","",COUNTIFS('Attendees'!$B$6:$B$205,A204,'Attendees'!$F$6:$F$205,"Alcohol-inclusive",'Attendees'!$A$6:$A$205,"&lt;&gt;"))</x:f>
      </x:c>
      <x:c r="X204" s="9"/>
      <x:c r="Y204" s="13" t="str">
        <x:f>IF(A204="","",IF(COUNTIFS($A$6:$A$205,A204)&gt;1,"Duplicate booking ID",IF(OR(I204&lt;1,I204&gt;'Dashboard'!$E$10,G204&lt;0,H204&lt;0,G204&lt;&gt;INT(G204),H204&lt;&gt;INT(H204)),"Use 1–5 whole passes",IF(OR(C204="",E204="",F204=""),"Complete buyer name, phone and email",IF(NOT(ISNUMBER(M204)),"Set added charges (0 if none)",IF(AND(S204&lt;&gt;"",COUNTIFS($S$6:$S$205,S204)&gt;1),"Duplicate payment ID",IF(AND(O204="Confirmed",OR(P204&lt;&gt;N204,S204="")),"Verify full payment + payment ID",IF(OR(U204&lt;&gt;I204,V204&lt;&gt;G204,W204&lt;&gt;H204),"Complete matching attendee details",""))))))))</x:f>
      </x:c>
    </x:row>
    <x:row r="205" ht="22" customHeight="1">
      <x:c r="A205" s="9"/>
      <x:c r="B205" s="18"/>
      <x:c r="C205" s="9"/>
      <x:c r="D205" s="9"/>
      <x:c r="E205" s="19"/>
      <x:c r="F205" s="19"/>
      <x:c r="G205" s="9"/>
      <x:c r="H205" s="9"/>
      <x:c r="I205" s="13" t="str">
        <x:f>IF(A205="","",SUM(G205:H205))</x:f>
      </x:c>
      <x:c r="J205" s="20" t="n">
        <x:v>2999</x:v>
      </x:c>
      <x:c r="K205" s="20" t="n">
        <x:v>3999</x:v>
      </x:c>
      <x:c r="L205" s="14" t="str">
        <x:f>IF(A205="","",G205*J205+H205*K205)</x:f>
      </x:c>
      <x:c r="M205" s="20"/>
      <x:c r="N205" s="14" t="str">
        <x:f>IF(A205="","",IF(ISNUMBER(M205),ROUND(L205+M205,2),"Set added charges"))</x:f>
      </x:c>
      <x:c r="O205" s="9"/>
      <x:c r="P205" s="20"/>
      <x:c r="Q205" s="20"/>
      <x:c r="R205" s="19"/>
      <x:c r="S205" s="19"/>
      <x:c r="T205" s="14" t="str">
        <x:f>IF(A205="","",P205-Q205)</x:f>
      </x:c>
      <x:c r="U205" s="13" t="str">
        <x:f>IF(A205="","",COUNTIFS('Attendees'!$B$6:$B$205,A205,'Attendees'!$A$6:$A$205,"&lt;&gt;"))</x:f>
      </x:c>
      <x:c r="V205" s="13" t="str">
        <x:f>IF(A205="","",COUNTIFS('Attendees'!$B$6:$B$205,A205,'Attendees'!$F$6:$F$205,"Non-alcoholic",'Attendees'!$A$6:$A$205,"&lt;&gt;"))</x:f>
      </x:c>
      <x:c r="W205" s="13" t="str">
        <x:f>IF(A205="","",COUNTIFS('Attendees'!$B$6:$B$205,A205,'Attendees'!$F$6:$F$205,"Alcohol-inclusive",'Attendees'!$A$6:$A$205,"&lt;&gt;"))</x:f>
      </x:c>
      <x:c r="X205" s="9"/>
      <x:c r="Y205" s="13" t="str">
        <x:f>IF(A205="","",IF(COUNTIFS($A$6:$A$205,A205)&gt;1,"Duplicate booking ID",IF(OR(I205&lt;1,I205&gt;'Dashboard'!$E$10,G205&lt;0,H205&lt;0,G205&lt;&gt;INT(G205),H205&lt;&gt;INT(H205)),"Use 1–5 whole passes",IF(OR(C205="",E205="",F205=""),"Complete buyer name, phone and email",IF(NOT(ISNUMBER(M205)),"Set added charges (0 if none)",IF(AND(S205&lt;&gt;"",COUNTIFS($S$6:$S$205,S205)&gt;1),"Duplicate payment ID",IF(AND(O205="Confirmed",OR(P205&lt;&gt;N205,S205="")),"Verify full payment + payment ID",IF(OR(U205&lt;&gt;I205,V205&lt;&gt;G205,W205&lt;&gt;H205),"Complete matching attendee details",""))))))))</x:f>
      </x:c>
    </x:row>
  </x:sheetData>
  <x:conditionalFormatting sqref="Y6:Y205">
    <x:cfRule type="containsText" dxfId="3" priority="1" operator="containsText" text="Duplicate"/>
    <x:cfRule type="expression" dxfId="4" priority="2">
      <x:formula>LEN(Y6)&gt;0</x:formula>
    </x:cfRule>
  </x:conditionalFormatting>
  <x:dataValidations count="3">
    <x:dataValidation type="whole" operator="between" sqref="G6:G205">
      <x:formula1>0</x:formula1>
      <x:formula2>5</x:formula2>
    </x:dataValidation>
    <x:dataValidation type="whole" operator="between" sqref="H6:H205">
      <x:formula1>0</x:formula1>
      <x:formula2>5</x:formula2>
    </x:dataValidation>
    <x:dataValidation type="list" sqref="O6:O205">
      <x:formula1>"Pending,Confirmed,Failed,Expired,Refunded,Review"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b5b7594c4e44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5" hidden="0" customWidth="1"/>
    <x:col min="5" max="5" width="20" hidden="0" customWidth="1"/>
    <x:col min="6" max="6" width="25" hidden="0" customWidth="1"/>
    <x:col min="7" max="7" width="25" hidden="0" customWidth="1"/>
    <x:col min="8" max="8" width="23" hidden="0" customWidth="1"/>
    <x:col min="9" max="9" width="25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4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ATTENDEES / ONE ROW PER PERSON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 t="str">
        <x:v>Use the booking ID to link each guest. Buyer details can be copied for the buyer’s own attendee row.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 t="str">
        <x:v>No ID documents are stored here. Verify age and named admission at the venue. Coupon count is a proposed per-person allowance.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8" t="str">
        <x:v>Ticket ID</x:v>
      </x:c>
      <x:c r="B5" s="8" t="str">
        <x:v>Booking ID</x:v>
      </x:c>
      <x:c r="C5" s="8" t="str">
        <x:v>Attendee full name</x:v>
      </x:c>
      <x:c r="D5" s="8" t="str">
        <x:v>Instagram username</x:v>
      </x:c>
      <x:c r="E5" s="8" t="str">
        <x:v>Phone</x:v>
      </x:c>
      <x:c r="F5" s="8" t="str">
        <x:v>Pass type</x:v>
      </x:c>
      <x:c r="G5" s="8" t="str">
        <x:v>Age check at entry</x:v>
      </x:c>
      <x:c r="H5" s="8" t="str">
        <x:v>Check-in status</x:v>
      </x:c>
      <x:c r="I5" s="8" t="str">
        <x:v>Checked in at (IST)</x:v>
      </x:c>
      <x:c r="J5" s="8" t="str">
        <x:v>Booking status</x:v>
      </x:c>
      <x:c r="K5" s="8" t="str">
        <x:v>Coupons allowed</x:v>
      </x:c>
      <x:c r="L5" s="8" t="str">
        <x:v>Coupons redeemed</x:v>
      </x:c>
      <x:c r="M5" s="8" t="str">
        <x:v>Coupons remaining</x:v>
      </x:c>
      <x:c r="N5" s="8" t="str">
        <x:v>Review</x:v>
      </x:c>
    </x:row>
    <x:row r="6" ht="22" customHeight="1">
      <x:c r="A6" s="9"/>
      <x:c r="B6" s="9"/>
      <x:c r="C6" s="9"/>
      <x:c r="D6" s="9"/>
      <x:c r="E6" s="19"/>
      <x:c r="F6" s="9"/>
      <x:c r="G6" s="9"/>
      <x:c r="H6" s="9"/>
      <x:c r="I6" s="18"/>
      <x:c r="J6" s="13" t="str">
        <x:f>IF(A6="","",IF(COUNTIFS('Bookings'!$A$6:$A$205,B6)&lt;&gt;1,"Booking missing/duplicate",IF(INDEX('Bookings'!$O$6:$O$205,MATCH(B6,'Bookings'!$A$6:$A$205,0))="","Not set",INDEX('Bookings'!$O$6:$O$205,MATCH(B6,'Bookings'!$A$6:$A$205,0)))))</x:f>
      </x:c>
      <x:c r="K6" s="13" t="str">
        <x:f>IF(A6="","",IF(F6="Alcohol-inclusive",8,IF(F6="Non-alcoholic",0,"Set pass type")))</x:f>
      </x:c>
      <x:c r="L6" s="9"/>
      <x:c r="M6" s="13" t="str">
        <x:f>IF(A6="","",IF(ISNUMBER(K6),K6-L6,"Set pass type"))</x:f>
      </x:c>
      <x:c r="N6" s="13" t="str">
        <x:f>IF(A6="","",IF(COUNTIFS($A$6:$A$205,A6)&gt;1,"Duplicate ticket ID",IF(OR(B6="",J6="Booking missing/duplicate"),"Link a unique booking",IF(OR(C6="",D6="",E6="",F6=""),"Complete guest name, Instagram, phone and pass",IF(OR(L6&lt;0,L6&gt;8,L6&lt;&gt;INT(L6),AND(ISNUMBER(K6),L6&gt;K6)),"Invalid coupon redemption",IF(AND(H6="Checked in",OR(J6&lt;&gt;"Confirmed",G6&lt;&gt;"Verified at entry",I6="")),"Check payment, age and check-in time",""))))))</x:f>
      </x:c>
    </x:row>
    <x:row r="7" ht="22" customHeight="1">
      <x:c r="A7" s="9"/>
      <x:c r="B7" s="9"/>
      <x:c r="C7" s="9"/>
      <x:c r="D7" s="9"/>
      <x:c r="E7" s="19"/>
      <x:c r="F7" s="9"/>
      <x:c r="G7" s="9"/>
      <x:c r="H7" s="9"/>
      <x:c r="I7" s="18"/>
      <x:c r="J7" s="13" t="str">
        <x:f>IF(A7="","",IF(COUNTIFS('Bookings'!$A$6:$A$205,B7)&lt;&gt;1,"Booking missing/duplicate",IF(INDEX('Bookings'!$O$6:$O$205,MATCH(B7,'Bookings'!$A$6:$A$205,0))="","Not set",INDEX('Bookings'!$O$6:$O$205,MATCH(B7,'Bookings'!$A$6:$A$205,0)))))</x:f>
      </x:c>
      <x:c r="K7" s="13" t="str">
        <x:f>IF(A7="","",IF(F7="Alcohol-inclusive",8,IF(F7="Non-alcoholic",0,"Set pass type")))</x:f>
      </x:c>
      <x:c r="L7" s="9"/>
      <x:c r="M7" s="13" t="str">
        <x:f>IF(A7="","",IF(ISNUMBER(K7),K7-L7,"Set pass type"))</x:f>
      </x:c>
      <x:c r="N7" s="13" t="str">
        <x:f>IF(A7="","",IF(COUNTIFS($A$6:$A$205,A7)&gt;1,"Duplicate ticket ID",IF(OR(B7="",J7="Booking missing/duplicate"),"Link a unique booking",IF(OR(C7="",D7="",E7="",F7=""),"Complete guest name, Instagram, phone and pass",IF(OR(L7&lt;0,L7&gt;8,L7&lt;&gt;INT(L7),AND(ISNUMBER(K7),L7&gt;K7)),"Invalid coupon redemption",IF(AND(H7="Checked in",OR(J7&lt;&gt;"Confirmed",G7&lt;&gt;"Verified at entry",I7="")),"Check payment, age and check-in time",""))))))</x:f>
      </x:c>
    </x:row>
    <x:row r="8" ht="22" customHeight="1">
      <x:c r="A8" s="9"/>
      <x:c r="B8" s="9"/>
      <x:c r="C8" s="9"/>
      <x:c r="D8" s="9"/>
      <x:c r="E8" s="19"/>
      <x:c r="F8" s="9"/>
      <x:c r="G8" s="9"/>
      <x:c r="H8" s="9"/>
      <x:c r="I8" s="18"/>
      <x:c r="J8" s="13" t="str">
        <x:f>IF(A8="","",IF(COUNTIFS('Bookings'!$A$6:$A$205,B8)&lt;&gt;1,"Booking missing/duplicate",IF(INDEX('Bookings'!$O$6:$O$205,MATCH(B8,'Bookings'!$A$6:$A$205,0))="","Not set",INDEX('Bookings'!$O$6:$O$205,MATCH(B8,'Bookings'!$A$6:$A$205,0)))))</x:f>
      </x:c>
      <x:c r="K8" s="13" t="str">
        <x:f>IF(A8="","",IF(F8="Alcohol-inclusive",8,IF(F8="Non-alcoholic",0,"Set pass type")))</x:f>
      </x:c>
      <x:c r="L8" s="9"/>
      <x:c r="M8" s="13" t="str">
        <x:f>IF(A8="","",IF(ISNUMBER(K8),K8-L8,"Set pass type"))</x:f>
      </x:c>
      <x:c r="N8" s="13" t="str">
        <x:f>IF(A8="","",IF(COUNTIFS($A$6:$A$205,A8)&gt;1,"Duplicate ticket ID",IF(OR(B8="",J8="Booking missing/duplicate"),"Link a unique booking",IF(OR(C8="",D8="",E8="",F8=""),"Complete guest name, Instagram, phone and pass",IF(OR(L8&lt;0,L8&gt;8,L8&lt;&gt;INT(L8),AND(ISNUMBER(K8),L8&gt;K8)),"Invalid coupon redemption",IF(AND(H8="Checked in",OR(J8&lt;&gt;"Confirmed",G8&lt;&gt;"Verified at entry",I8="")),"Check payment, age and check-in time",""))))))</x:f>
      </x:c>
    </x:row>
    <x:row r="9" ht="22" customHeight="1">
      <x:c r="A9" s="9"/>
      <x:c r="B9" s="9"/>
      <x:c r="C9" s="9"/>
      <x:c r="D9" s="9"/>
      <x:c r="E9" s="19"/>
      <x:c r="F9" s="9"/>
      <x:c r="G9" s="9"/>
      <x:c r="H9" s="9"/>
      <x:c r="I9" s="18"/>
      <x:c r="J9" s="13" t="str">
        <x:f>IF(A9="","",IF(COUNTIFS('Bookings'!$A$6:$A$205,B9)&lt;&gt;1,"Booking missing/duplicate",IF(INDEX('Bookings'!$O$6:$O$205,MATCH(B9,'Bookings'!$A$6:$A$205,0))="","Not set",INDEX('Bookings'!$O$6:$O$205,MATCH(B9,'Bookings'!$A$6:$A$205,0)))))</x:f>
      </x:c>
      <x:c r="K9" s="13" t="str">
        <x:f>IF(A9="","",IF(F9="Alcohol-inclusive",8,IF(F9="Non-alcoholic",0,"Set pass type")))</x:f>
      </x:c>
      <x:c r="L9" s="9"/>
      <x:c r="M9" s="13" t="str">
        <x:f>IF(A9="","",IF(ISNUMBER(K9),K9-L9,"Set pass type"))</x:f>
      </x:c>
      <x:c r="N9" s="13" t="str">
        <x:f>IF(A9="","",IF(COUNTIFS($A$6:$A$205,A9)&gt;1,"Duplicate ticket ID",IF(OR(B9="",J9="Booking missing/duplicate"),"Link a unique booking",IF(OR(C9="",D9="",E9="",F9=""),"Complete guest name, Instagram, phone and pass",IF(OR(L9&lt;0,L9&gt;8,L9&lt;&gt;INT(L9),AND(ISNUMBER(K9),L9&gt;K9)),"Invalid coupon redemption",IF(AND(H9="Checked in",OR(J9&lt;&gt;"Confirmed",G9&lt;&gt;"Verified at entry",I9="")),"Check payment, age and check-in time",""))))))</x:f>
      </x:c>
    </x:row>
    <x:row r="10" ht="22" customHeight="1">
      <x:c r="A10" s="9"/>
      <x:c r="B10" s="9"/>
      <x:c r="C10" s="9"/>
      <x:c r="D10" s="9"/>
      <x:c r="E10" s="19"/>
      <x:c r="F10" s="9"/>
      <x:c r="G10" s="9"/>
      <x:c r="H10" s="9"/>
      <x:c r="I10" s="18"/>
      <x:c r="J10" s="13" t="str">
        <x:f>IF(A10="","",IF(COUNTIFS('Bookings'!$A$6:$A$205,B10)&lt;&gt;1,"Booking missing/duplicate",IF(INDEX('Bookings'!$O$6:$O$205,MATCH(B10,'Bookings'!$A$6:$A$205,0))="","Not set",INDEX('Bookings'!$O$6:$O$205,MATCH(B10,'Bookings'!$A$6:$A$205,0)))))</x:f>
      </x:c>
      <x:c r="K10" s="13" t="str">
        <x:f>IF(A10="","",IF(F10="Alcohol-inclusive",8,IF(F10="Non-alcoholic",0,"Set pass type")))</x:f>
      </x:c>
      <x:c r="L10" s="9"/>
      <x:c r="M10" s="13" t="str">
        <x:f>IF(A10="","",IF(ISNUMBER(K10),K10-L10,"Set pass type"))</x:f>
      </x:c>
      <x:c r="N10" s="13" t="str">
        <x:f>IF(A10="","",IF(COUNTIFS($A$6:$A$205,A10)&gt;1,"Duplicate ticket ID",IF(OR(B10="",J10="Booking missing/duplicate"),"Link a unique booking",IF(OR(C10="",D10="",E10="",F10=""),"Complete guest name, Instagram, phone and pass",IF(OR(L10&lt;0,L10&gt;8,L10&lt;&gt;INT(L10),AND(ISNUMBER(K10),L10&gt;K10)),"Invalid coupon redemption",IF(AND(H10="Checked in",OR(J10&lt;&gt;"Confirmed",G10&lt;&gt;"Verified at entry",I10="")),"Check payment, age and check-in time",""))))))</x:f>
      </x:c>
    </x:row>
    <x:row r="11" ht="22" customHeight="1">
      <x:c r="A11" s="9"/>
      <x:c r="B11" s="9"/>
      <x:c r="C11" s="9"/>
      <x:c r="D11" s="9"/>
      <x:c r="E11" s="19"/>
      <x:c r="F11" s="9"/>
      <x:c r="G11" s="9"/>
      <x:c r="H11" s="9"/>
      <x:c r="I11" s="18"/>
      <x:c r="J11" s="13" t="str">
        <x:f>IF(A11="","",IF(COUNTIFS('Bookings'!$A$6:$A$205,B11)&lt;&gt;1,"Booking missing/duplicate",IF(INDEX('Bookings'!$O$6:$O$205,MATCH(B11,'Bookings'!$A$6:$A$205,0))="","Not set",INDEX('Bookings'!$O$6:$O$205,MATCH(B11,'Bookings'!$A$6:$A$205,0)))))</x:f>
      </x:c>
      <x:c r="K11" s="13" t="str">
        <x:f>IF(A11="","",IF(F11="Alcohol-inclusive",8,IF(F11="Non-alcoholic",0,"Set pass type")))</x:f>
      </x:c>
      <x:c r="L11" s="9"/>
      <x:c r="M11" s="13" t="str">
        <x:f>IF(A11="","",IF(ISNUMBER(K11),K11-L11,"Set pass type"))</x:f>
      </x:c>
      <x:c r="N11" s="13" t="str">
        <x:f>IF(A11="","",IF(COUNTIFS($A$6:$A$205,A11)&gt;1,"Duplicate ticket ID",IF(OR(B11="",J11="Booking missing/duplicate"),"Link a unique booking",IF(OR(C11="",D11="",E11="",F11=""),"Complete guest name, Instagram, phone and pass",IF(OR(L11&lt;0,L11&gt;8,L11&lt;&gt;INT(L11),AND(ISNUMBER(K11),L11&gt;K11)),"Invalid coupon redemption",IF(AND(H11="Checked in",OR(J11&lt;&gt;"Confirmed",G11&lt;&gt;"Verified at entry",I11="")),"Check payment, age and check-in time",""))))))</x:f>
      </x:c>
    </x:row>
    <x:row r="12" ht="22" customHeight="1">
      <x:c r="A12" s="9"/>
      <x:c r="B12" s="9"/>
      <x:c r="C12" s="9"/>
      <x:c r="D12" s="9"/>
      <x:c r="E12" s="19"/>
      <x:c r="F12" s="9"/>
      <x:c r="G12" s="9"/>
      <x:c r="H12" s="9"/>
      <x:c r="I12" s="18"/>
      <x:c r="J12" s="13" t="str">
        <x:f>IF(A12="","",IF(COUNTIFS('Bookings'!$A$6:$A$205,B12)&lt;&gt;1,"Booking missing/duplicate",IF(INDEX('Bookings'!$O$6:$O$205,MATCH(B12,'Bookings'!$A$6:$A$205,0))="","Not set",INDEX('Bookings'!$O$6:$O$205,MATCH(B12,'Bookings'!$A$6:$A$205,0)))))</x:f>
      </x:c>
      <x:c r="K12" s="13" t="str">
        <x:f>IF(A12="","",IF(F12="Alcohol-inclusive",8,IF(F12="Non-alcoholic",0,"Set pass type")))</x:f>
      </x:c>
      <x:c r="L12" s="9"/>
      <x:c r="M12" s="13" t="str">
        <x:f>IF(A12="","",IF(ISNUMBER(K12),K12-L12,"Set pass type"))</x:f>
      </x:c>
      <x:c r="N12" s="13" t="str">
        <x:f>IF(A12="","",IF(COUNTIFS($A$6:$A$205,A12)&gt;1,"Duplicate ticket ID",IF(OR(B12="",J12="Booking missing/duplicate"),"Link a unique booking",IF(OR(C12="",D12="",E12="",F12=""),"Complete guest name, Instagram, phone and pass",IF(OR(L12&lt;0,L12&gt;8,L12&lt;&gt;INT(L12),AND(ISNUMBER(K12),L12&gt;K12)),"Invalid coupon redemption",IF(AND(H12="Checked in",OR(J12&lt;&gt;"Confirmed",G12&lt;&gt;"Verified at entry",I12="")),"Check payment, age and check-in time",""))))))</x:f>
      </x:c>
    </x:row>
    <x:row r="13" ht="22" customHeight="1">
      <x:c r="A13" s="9"/>
      <x:c r="B13" s="9"/>
      <x:c r="C13" s="9"/>
      <x:c r="D13" s="9"/>
      <x:c r="E13" s="19"/>
      <x:c r="F13" s="9"/>
      <x:c r="G13" s="9"/>
      <x:c r="H13" s="9"/>
      <x:c r="I13" s="18"/>
      <x:c r="J13" s="13" t="str">
        <x:f>IF(A13="","",IF(COUNTIFS('Bookings'!$A$6:$A$205,B13)&lt;&gt;1,"Booking missing/duplicate",IF(INDEX('Bookings'!$O$6:$O$205,MATCH(B13,'Bookings'!$A$6:$A$205,0))="","Not set",INDEX('Bookings'!$O$6:$O$205,MATCH(B13,'Bookings'!$A$6:$A$205,0)))))</x:f>
      </x:c>
      <x:c r="K13" s="13" t="str">
        <x:f>IF(A13="","",IF(F13="Alcohol-inclusive",8,IF(F13="Non-alcoholic",0,"Set pass type")))</x:f>
      </x:c>
      <x:c r="L13" s="9"/>
      <x:c r="M13" s="13" t="str">
        <x:f>IF(A13="","",IF(ISNUMBER(K13),K13-L13,"Set pass type"))</x:f>
      </x:c>
      <x:c r="N13" s="13" t="str">
        <x:f>IF(A13="","",IF(COUNTIFS($A$6:$A$205,A13)&gt;1,"Duplicate ticket ID",IF(OR(B13="",J13="Booking missing/duplicate"),"Link a unique booking",IF(OR(C13="",D13="",E13="",F13=""),"Complete guest name, Instagram, phone and pass",IF(OR(L13&lt;0,L13&gt;8,L13&lt;&gt;INT(L13),AND(ISNUMBER(K13),L13&gt;K13)),"Invalid coupon redemption",IF(AND(H13="Checked in",OR(J13&lt;&gt;"Confirmed",G13&lt;&gt;"Verified at entry",I13="")),"Check payment, age and check-in time",""))))))</x:f>
      </x:c>
    </x:row>
    <x:row r="14" ht="22" customHeight="1">
      <x:c r="A14" s="9"/>
      <x:c r="B14" s="9"/>
      <x:c r="C14" s="9"/>
      <x:c r="D14" s="9"/>
      <x:c r="E14" s="19"/>
      <x:c r="F14" s="9"/>
      <x:c r="G14" s="9"/>
      <x:c r="H14" s="9"/>
      <x:c r="I14" s="18"/>
      <x:c r="J14" s="13" t="str">
        <x:f>IF(A14="","",IF(COUNTIFS('Bookings'!$A$6:$A$205,B14)&lt;&gt;1,"Booking missing/duplicate",IF(INDEX('Bookings'!$O$6:$O$205,MATCH(B14,'Bookings'!$A$6:$A$205,0))="","Not set",INDEX('Bookings'!$O$6:$O$205,MATCH(B14,'Bookings'!$A$6:$A$205,0)))))</x:f>
      </x:c>
      <x:c r="K14" s="13" t="str">
        <x:f>IF(A14="","",IF(F14="Alcohol-inclusive",8,IF(F14="Non-alcoholic",0,"Set pass type")))</x:f>
      </x:c>
      <x:c r="L14" s="9"/>
      <x:c r="M14" s="13" t="str">
        <x:f>IF(A14="","",IF(ISNUMBER(K14),K14-L14,"Set pass type"))</x:f>
      </x:c>
      <x:c r="N14" s="13" t="str">
        <x:f>IF(A14="","",IF(COUNTIFS($A$6:$A$205,A14)&gt;1,"Duplicate ticket ID",IF(OR(B14="",J14="Booking missing/duplicate"),"Link a unique booking",IF(OR(C14="",D14="",E14="",F14=""),"Complete guest name, Instagram, phone and pass",IF(OR(L14&lt;0,L14&gt;8,L14&lt;&gt;INT(L14),AND(ISNUMBER(K14),L14&gt;K14)),"Invalid coupon redemption",IF(AND(H14="Checked in",OR(J14&lt;&gt;"Confirmed",G14&lt;&gt;"Verified at entry",I14="")),"Check payment, age and check-in time",""))))))</x:f>
      </x:c>
    </x:row>
    <x:row r="15" ht="22" customHeight="1">
      <x:c r="A15" s="9"/>
      <x:c r="B15" s="9"/>
      <x:c r="C15" s="9"/>
      <x:c r="D15" s="9"/>
      <x:c r="E15" s="19"/>
      <x:c r="F15" s="9"/>
      <x:c r="G15" s="9"/>
      <x:c r="H15" s="9"/>
      <x:c r="I15" s="18"/>
      <x:c r="J15" s="13" t="str">
        <x:f>IF(A15="","",IF(COUNTIFS('Bookings'!$A$6:$A$205,B15)&lt;&gt;1,"Booking missing/duplicate",IF(INDEX('Bookings'!$O$6:$O$205,MATCH(B15,'Bookings'!$A$6:$A$205,0))="","Not set",INDEX('Bookings'!$O$6:$O$205,MATCH(B15,'Bookings'!$A$6:$A$205,0)))))</x:f>
      </x:c>
      <x:c r="K15" s="13" t="str">
        <x:f>IF(A15="","",IF(F15="Alcohol-inclusive",8,IF(F15="Non-alcoholic",0,"Set pass type")))</x:f>
      </x:c>
      <x:c r="L15" s="9"/>
      <x:c r="M15" s="13" t="str">
        <x:f>IF(A15="","",IF(ISNUMBER(K15),K15-L15,"Set pass type"))</x:f>
      </x:c>
      <x:c r="N15" s="13" t="str">
        <x:f>IF(A15="","",IF(COUNTIFS($A$6:$A$205,A15)&gt;1,"Duplicate ticket ID",IF(OR(B15="",J15="Booking missing/duplicate"),"Link a unique booking",IF(OR(C15="",D15="",E15="",F15=""),"Complete guest name, Instagram, phone and pass",IF(OR(L15&lt;0,L15&gt;8,L15&lt;&gt;INT(L15),AND(ISNUMBER(K15),L15&gt;K15)),"Invalid coupon redemption",IF(AND(H15="Checked in",OR(J15&lt;&gt;"Confirmed",G15&lt;&gt;"Verified at entry",I15="")),"Check payment, age and check-in time",""))))))</x:f>
      </x:c>
    </x:row>
    <x:row r="16" ht="22" customHeight="1">
      <x:c r="A16" s="9"/>
      <x:c r="B16" s="9"/>
      <x:c r="C16" s="9"/>
      <x:c r="D16" s="9"/>
      <x:c r="E16" s="19"/>
      <x:c r="F16" s="9"/>
      <x:c r="G16" s="9"/>
      <x:c r="H16" s="9"/>
      <x:c r="I16" s="18"/>
      <x:c r="J16" s="13" t="str">
        <x:f>IF(A16="","",IF(COUNTIFS('Bookings'!$A$6:$A$205,B16)&lt;&gt;1,"Booking missing/duplicate",IF(INDEX('Bookings'!$O$6:$O$205,MATCH(B16,'Bookings'!$A$6:$A$205,0))="","Not set",INDEX('Bookings'!$O$6:$O$205,MATCH(B16,'Bookings'!$A$6:$A$205,0)))))</x:f>
      </x:c>
      <x:c r="K16" s="13" t="str">
        <x:f>IF(A16="","",IF(F16="Alcohol-inclusive",8,IF(F16="Non-alcoholic",0,"Set pass type")))</x:f>
      </x:c>
      <x:c r="L16" s="9"/>
      <x:c r="M16" s="13" t="str">
        <x:f>IF(A16="","",IF(ISNUMBER(K16),K16-L16,"Set pass type"))</x:f>
      </x:c>
      <x:c r="N16" s="13" t="str">
        <x:f>IF(A16="","",IF(COUNTIFS($A$6:$A$205,A16)&gt;1,"Duplicate ticket ID",IF(OR(B16="",J16="Booking missing/duplicate"),"Link a unique booking",IF(OR(C16="",D16="",E16="",F16=""),"Complete guest name, Instagram, phone and pass",IF(OR(L16&lt;0,L16&gt;8,L16&lt;&gt;INT(L16),AND(ISNUMBER(K16),L16&gt;K16)),"Invalid coupon redemption",IF(AND(H16="Checked in",OR(J16&lt;&gt;"Confirmed",G16&lt;&gt;"Verified at entry",I16="")),"Check payment, age and check-in time",""))))))</x:f>
      </x:c>
    </x:row>
    <x:row r="17" ht="22" customHeight="1">
      <x:c r="A17" s="9"/>
      <x:c r="B17" s="9"/>
      <x:c r="C17" s="9"/>
      <x:c r="D17" s="9"/>
      <x:c r="E17" s="19"/>
      <x:c r="F17" s="9"/>
      <x:c r="G17" s="9"/>
      <x:c r="H17" s="9"/>
      <x:c r="I17" s="18"/>
      <x:c r="J17" s="13" t="str">
        <x:f>IF(A17="","",IF(COUNTIFS('Bookings'!$A$6:$A$205,B17)&lt;&gt;1,"Booking missing/duplicate",IF(INDEX('Bookings'!$O$6:$O$205,MATCH(B17,'Bookings'!$A$6:$A$205,0))="","Not set",INDEX('Bookings'!$O$6:$O$205,MATCH(B17,'Bookings'!$A$6:$A$205,0)))))</x:f>
      </x:c>
      <x:c r="K17" s="13" t="str">
        <x:f>IF(A17="","",IF(F17="Alcohol-inclusive",8,IF(F17="Non-alcoholic",0,"Set pass type")))</x:f>
      </x:c>
      <x:c r="L17" s="9"/>
      <x:c r="M17" s="13" t="str">
        <x:f>IF(A17="","",IF(ISNUMBER(K17),K17-L17,"Set pass type"))</x:f>
      </x:c>
      <x:c r="N17" s="13" t="str">
        <x:f>IF(A17="","",IF(COUNTIFS($A$6:$A$205,A17)&gt;1,"Duplicate ticket ID",IF(OR(B17="",J17="Booking missing/duplicate"),"Link a unique booking",IF(OR(C17="",D17="",E17="",F17=""),"Complete guest name, Instagram, phone and pass",IF(OR(L17&lt;0,L17&gt;8,L17&lt;&gt;INT(L17),AND(ISNUMBER(K17),L17&gt;K17)),"Invalid coupon redemption",IF(AND(H17="Checked in",OR(J17&lt;&gt;"Confirmed",G17&lt;&gt;"Verified at entry",I17="")),"Check payment, age and check-in time",""))))))</x:f>
      </x:c>
    </x:row>
    <x:row r="18" ht="22" customHeight="1">
      <x:c r="A18" s="9"/>
      <x:c r="B18" s="9"/>
      <x:c r="C18" s="9"/>
      <x:c r="D18" s="9"/>
      <x:c r="E18" s="19"/>
      <x:c r="F18" s="9"/>
      <x:c r="G18" s="9"/>
      <x:c r="H18" s="9"/>
      <x:c r="I18" s="18"/>
      <x:c r="J18" s="13" t="str">
        <x:f>IF(A18="","",IF(COUNTIFS('Bookings'!$A$6:$A$205,B18)&lt;&gt;1,"Booking missing/duplicate",IF(INDEX('Bookings'!$O$6:$O$205,MATCH(B18,'Bookings'!$A$6:$A$205,0))="","Not set",INDEX('Bookings'!$O$6:$O$205,MATCH(B18,'Bookings'!$A$6:$A$205,0)))))</x:f>
      </x:c>
      <x:c r="K18" s="13" t="str">
        <x:f>IF(A18="","",IF(F18="Alcohol-inclusive",8,IF(F18="Non-alcoholic",0,"Set pass type")))</x:f>
      </x:c>
      <x:c r="L18" s="9"/>
      <x:c r="M18" s="13" t="str">
        <x:f>IF(A18="","",IF(ISNUMBER(K18),K18-L18,"Set pass type"))</x:f>
      </x:c>
      <x:c r="N18" s="13" t="str">
        <x:f>IF(A18="","",IF(COUNTIFS($A$6:$A$205,A18)&gt;1,"Duplicate ticket ID",IF(OR(B18="",J18="Booking missing/duplicate"),"Link a unique booking",IF(OR(C18="",D18="",E18="",F18=""),"Complete guest name, Instagram, phone and pass",IF(OR(L18&lt;0,L18&gt;8,L18&lt;&gt;INT(L18),AND(ISNUMBER(K18),L18&gt;K18)),"Invalid coupon redemption",IF(AND(H18="Checked in",OR(J18&lt;&gt;"Confirmed",G18&lt;&gt;"Verified at entry",I18="")),"Check payment, age and check-in time",""))))))</x:f>
      </x:c>
    </x:row>
    <x:row r="19" ht="22" customHeight="1">
      <x:c r="A19" s="9"/>
      <x:c r="B19" s="9"/>
      <x:c r="C19" s="9"/>
      <x:c r="D19" s="9"/>
      <x:c r="E19" s="19"/>
      <x:c r="F19" s="9"/>
      <x:c r="G19" s="9"/>
      <x:c r="H19" s="9"/>
      <x:c r="I19" s="18"/>
      <x:c r="J19" s="13" t="str">
        <x:f>IF(A19="","",IF(COUNTIFS('Bookings'!$A$6:$A$205,B19)&lt;&gt;1,"Booking missing/duplicate",IF(INDEX('Bookings'!$O$6:$O$205,MATCH(B19,'Bookings'!$A$6:$A$205,0))="","Not set",INDEX('Bookings'!$O$6:$O$205,MATCH(B19,'Bookings'!$A$6:$A$205,0)))))</x:f>
      </x:c>
      <x:c r="K19" s="13" t="str">
        <x:f>IF(A19="","",IF(F19="Alcohol-inclusive",8,IF(F19="Non-alcoholic",0,"Set pass type")))</x:f>
      </x:c>
      <x:c r="L19" s="9"/>
      <x:c r="M19" s="13" t="str">
        <x:f>IF(A19="","",IF(ISNUMBER(K19),K19-L19,"Set pass type"))</x:f>
      </x:c>
      <x:c r="N19" s="13" t="str">
        <x:f>IF(A19="","",IF(COUNTIFS($A$6:$A$205,A19)&gt;1,"Duplicate ticket ID",IF(OR(B19="",J19="Booking missing/duplicate"),"Link a unique booking",IF(OR(C19="",D19="",E19="",F19=""),"Complete guest name, Instagram, phone and pass",IF(OR(L19&lt;0,L19&gt;8,L19&lt;&gt;INT(L19),AND(ISNUMBER(K19),L19&gt;K19)),"Invalid coupon redemption",IF(AND(H19="Checked in",OR(J19&lt;&gt;"Confirmed",G19&lt;&gt;"Verified at entry",I19="")),"Check payment, age and check-in time",""))))))</x:f>
      </x:c>
    </x:row>
    <x:row r="20" ht="22" customHeight="1">
      <x:c r="A20" s="9"/>
      <x:c r="B20" s="9"/>
      <x:c r="C20" s="9"/>
      <x:c r="D20" s="9"/>
      <x:c r="E20" s="19"/>
      <x:c r="F20" s="9"/>
      <x:c r="G20" s="9"/>
      <x:c r="H20" s="9"/>
      <x:c r="I20" s="18"/>
      <x:c r="J20" s="13" t="str">
        <x:f>IF(A20="","",IF(COUNTIFS('Bookings'!$A$6:$A$205,B20)&lt;&gt;1,"Booking missing/duplicate",IF(INDEX('Bookings'!$O$6:$O$205,MATCH(B20,'Bookings'!$A$6:$A$205,0))="","Not set",INDEX('Bookings'!$O$6:$O$205,MATCH(B20,'Bookings'!$A$6:$A$205,0)))))</x:f>
      </x:c>
      <x:c r="K20" s="13" t="str">
        <x:f>IF(A20="","",IF(F20="Alcohol-inclusive",8,IF(F20="Non-alcoholic",0,"Set pass type")))</x:f>
      </x:c>
      <x:c r="L20" s="9"/>
      <x:c r="M20" s="13" t="str">
        <x:f>IF(A20="","",IF(ISNUMBER(K20),K20-L20,"Set pass type"))</x:f>
      </x:c>
      <x:c r="N20" s="13" t="str">
        <x:f>IF(A20="","",IF(COUNTIFS($A$6:$A$205,A20)&gt;1,"Duplicate ticket ID",IF(OR(B20="",J20="Booking missing/duplicate"),"Link a unique booking",IF(OR(C20="",D20="",E20="",F20=""),"Complete guest name, Instagram, phone and pass",IF(OR(L20&lt;0,L20&gt;8,L20&lt;&gt;INT(L20),AND(ISNUMBER(K20),L20&gt;K20)),"Invalid coupon redemption",IF(AND(H20="Checked in",OR(J20&lt;&gt;"Confirmed",G20&lt;&gt;"Verified at entry",I20="")),"Check payment, age and check-in time",""))))))</x:f>
      </x:c>
    </x:row>
    <x:row r="21" ht="22" customHeight="1">
      <x:c r="A21" s="9"/>
      <x:c r="B21" s="9"/>
      <x:c r="C21" s="9"/>
      <x:c r="D21" s="9"/>
      <x:c r="E21" s="19"/>
      <x:c r="F21" s="9"/>
      <x:c r="G21" s="9"/>
      <x:c r="H21" s="9"/>
      <x:c r="I21" s="18"/>
      <x:c r="J21" s="13" t="str">
        <x:f>IF(A21="","",IF(COUNTIFS('Bookings'!$A$6:$A$205,B21)&lt;&gt;1,"Booking missing/duplicate",IF(INDEX('Bookings'!$O$6:$O$205,MATCH(B21,'Bookings'!$A$6:$A$205,0))="","Not set",INDEX('Bookings'!$O$6:$O$205,MATCH(B21,'Bookings'!$A$6:$A$205,0)))))</x:f>
      </x:c>
      <x:c r="K21" s="13" t="str">
        <x:f>IF(A21="","",IF(F21="Alcohol-inclusive",8,IF(F21="Non-alcoholic",0,"Set pass type")))</x:f>
      </x:c>
      <x:c r="L21" s="9"/>
      <x:c r="M21" s="13" t="str">
        <x:f>IF(A21="","",IF(ISNUMBER(K21),K21-L21,"Set pass type"))</x:f>
      </x:c>
      <x:c r="N21" s="13" t="str">
        <x:f>IF(A21="","",IF(COUNTIFS($A$6:$A$205,A21)&gt;1,"Duplicate ticket ID",IF(OR(B21="",J21="Booking missing/duplicate"),"Link a unique booking",IF(OR(C21="",D21="",E21="",F21=""),"Complete guest name, Instagram, phone and pass",IF(OR(L21&lt;0,L21&gt;8,L21&lt;&gt;INT(L21),AND(ISNUMBER(K21),L21&gt;K21)),"Invalid coupon redemption",IF(AND(H21="Checked in",OR(J21&lt;&gt;"Confirmed",G21&lt;&gt;"Verified at entry",I21="")),"Check payment, age and check-in time",""))))))</x:f>
      </x:c>
    </x:row>
    <x:row r="22" ht="22" customHeight="1">
      <x:c r="A22" s="9"/>
      <x:c r="B22" s="9"/>
      <x:c r="C22" s="9"/>
      <x:c r="D22" s="9"/>
      <x:c r="E22" s="19"/>
      <x:c r="F22" s="9"/>
      <x:c r="G22" s="9"/>
      <x:c r="H22" s="9"/>
      <x:c r="I22" s="18"/>
      <x:c r="J22" s="13" t="str">
        <x:f>IF(A22="","",IF(COUNTIFS('Bookings'!$A$6:$A$205,B22)&lt;&gt;1,"Booking missing/duplicate",IF(INDEX('Bookings'!$O$6:$O$205,MATCH(B22,'Bookings'!$A$6:$A$205,0))="","Not set",INDEX('Bookings'!$O$6:$O$205,MATCH(B22,'Bookings'!$A$6:$A$205,0)))))</x:f>
      </x:c>
      <x:c r="K22" s="13" t="str">
        <x:f>IF(A22="","",IF(F22="Alcohol-inclusive",8,IF(F22="Non-alcoholic",0,"Set pass type")))</x:f>
      </x:c>
      <x:c r="L22" s="9"/>
      <x:c r="M22" s="13" t="str">
        <x:f>IF(A22="","",IF(ISNUMBER(K22),K22-L22,"Set pass type"))</x:f>
      </x:c>
      <x:c r="N22" s="13" t="str">
        <x:f>IF(A22="","",IF(COUNTIFS($A$6:$A$205,A22)&gt;1,"Duplicate ticket ID",IF(OR(B22="",J22="Booking missing/duplicate"),"Link a unique booking",IF(OR(C22="",D22="",E22="",F22=""),"Complete guest name, Instagram, phone and pass",IF(OR(L22&lt;0,L22&gt;8,L22&lt;&gt;INT(L22),AND(ISNUMBER(K22),L22&gt;K22)),"Invalid coupon redemption",IF(AND(H22="Checked in",OR(J22&lt;&gt;"Confirmed",G22&lt;&gt;"Verified at entry",I22="")),"Check payment, age and check-in time",""))))))</x:f>
      </x:c>
    </x:row>
    <x:row r="23" ht="22" customHeight="1">
      <x:c r="A23" s="9"/>
      <x:c r="B23" s="9"/>
      <x:c r="C23" s="9"/>
      <x:c r="D23" s="9"/>
      <x:c r="E23" s="19"/>
      <x:c r="F23" s="9"/>
      <x:c r="G23" s="9"/>
      <x:c r="H23" s="9"/>
      <x:c r="I23" s="18"/>
      <x:c r="J23" s="13" t="str">
        <x:f>IF(A23="","",IF(COUNTIFS('Bookings'!$A$6:$A$205,B23)&lt;&gt;1,"Booking missing/duplicate",IF(INDEX('Bookings'!$O$6:$O$205,MATCH(B23,'Bookings'!$A$6:$A$205,0))="","Not set",INDEX('Bookings'!$O$6:$O$205,MATCH(B23,'Bookings'!$A$6:$A$205,0)))))</x:f>
      </x:c>
      <x:c r="K23" s="13" t="str">
        <x:f>IF(A23="","",IF(F23="Alcohol-inclusive",8,IF(F23="Non-alcoholic",0,"Set pass type")))</x:f>
      </x:c>
      <x:c r="L23" s="9"/>
      <x:c r="M23" s="13" t="str">
        <x:f>IF(A23="","",IF(ISNUMBER(K23),K23-L23,"Set pass type"))</x:f>
      </x:c>
      <x:c r="N23" s="13" t="str">
        <x:f>IF(A23="","",IF(COUNTIFS($A$6:$A$205,A23)&gt;1,"Duplicate ticket ID",IF(OR(B23="",J23="Booking missing/duplicate"),"Link a unique booking",IF(OR(C23="",D23="",E23="",F23=""),"Complete guest name, Instagram, phone and pass",IF(OR(L23&lt;0,L23&gt;8,L23&lt;&gt;INT(L23),AND(ISNUMBER(K23),L23&gt;K23)),"Invalid coupon redemption",IF(AND(H23="Checked in",OR(J23&lt;&gt;"Confirmed",G23&lt;&gt;"Verified at entry",I23="")),"Check payment, age and check-in time",""))))))</x:f>
      </x:c>
    </x:row>
    <x:row r="24" ht="22" customHeight="1">
      <x:c r="A24" s="9"/>
      <x:c r="B24" s="9"/>
      <x:c r="C24" s="9"/>
      <x:c r="D24" s="9"/>
      <x:c r="E24" s="19"/>
      <x:c r="F24" s="9"/>
      <x:c r="G24" s="9"/>
      <x:c r="H24" s="9"/>
      <x:c r="I24" s="18"/>
      <x:c r="J24" s="13" t="str">
        <x:f>IF(A24="","",IF(COUNTIFS('Bookings'!$A$6:$A$205,B24)&lt;&gt;1,"Booking missing/duplicate",IF(INDEX('Bookings'!$O$6:$O$205,MATCH(B24,'Bookings'!$A$6:$A$205,0))="","Not set",INDEX('Bookings'!$O$6:$O$205,MATCH(B24,'Bookings'!$A$6:$A$205,0)))))</x:f>
      </x:c>
      <x:c r="K24" s="13" t="str">
        <x:f>IF(A24="","",IF(F24="Alcohol-inclusive",8,IF(F24="Non-alcoholic",0,"Set pass type")))</x:f>
      </x:c>
      <x:c r="L24" s="9"/>
      <x:c r="M24" s="13" t="str">
        <x:f>IF(A24="","",IF(ISNUMBER(K24),K24-L24,"Set pass type"))</x:f>
      </x:c>
      <x:c r="N24" s="13" t="str">
        <x:f>IF(A24="","",IF(COUNTIFS($A$6:$A$205,A24)&gt;1,"Duplicate ticket ID",IF(OR(B24="",J24="Booking missing/duplicate"),"Link a unique booking",IF(OR(C24="",D24="",E24="",F24=""),"Complete guest name, Instagram, phone and pass",IF(OR(L24&lt;0,L24&gt;8,L24&lt;&gt;INT(L24),AND(ISNUMBER(K24),L24&gt;K24)),"Invalid coupon redemption",IF(AND(H24="Checked in",OR(J24&lt;&gt;"Confirmed",G24&lt;&gt;"Verified at entry",I24="")),"Check payment, age and check-in time",""))))))</x:f>
      </x:c>
    </x:row>
    <x:row r="25" ht="22" customHeight="1">
      <x:c r="A25" s="9"/>
      <x:c r="B25" s="9"/>
      <x:c r="C25" s="9"/>
      <x:c r="D25" s="9"/>
      <x:c r="E25" s="19"/>
      <x:c r="F25" s="9"/>
      <x:c r="G25" s="9"/>
      <x:c r="H25" s="9"/>
      <x:c r="I25" s="18"/>
      <x:c r="J25" s="13" t="str">
        <x:f>IF(A25="","",IF(COUNTIFS('Bookings'!$A$6:$A$205,B25)&lt;&gt;1,"Booking missing/duplicate",IF(INDEX('Bookings'!$O$6:$O$205,MATCH(B25,'Bookings'!$A$6:$A$205,0))="","Not set",INDEX('Bookings'!$O$6:$O$205,MATCH(B25,'Bookings'!$A$6:$A$205,0)))))</x:f>
      </x:c>
      <x:c r="K25" s="13" t="str">
        <x:f>IF(A25="","",IF(F25="Alcohol-inclusive",8,IF(F25="Non-alcoholic",0,"Set pass type")))</x:f>
      </x:c>
      <x:c r="L25" s="9"/>
      <x:c r="M25" s="13" t="str">
        <x:f>IF(A25="","",IF(ISNUMBER(K25),K25-L25,"Set pass type"))</x:f>
      </x:c>
      <x:c r="N25" s="13" t="str">
        <x:f>IF(A25="","",IF(COUNTIFS($A$6:$A$205,A25)&gt;1,"Duplicate ticket ID",IF(OR(B25="",J25="Booking missing/duplicate"),"Link a unique booking",IF(OR(C25="",D25="",E25="",F25=""),"Complete guest name, Instagram, phone and pass",IF(OR(L25&lt;0,L25&gt;8,L25&lt;&gt;INT(L25),AND(ISNUMBER(K25),L25&gt;K25)),"Invalid coupon redemption",IF(AND(H25="Checked in",OR(J25&lt;&gt;"Confirmed",G25&lt;&gt;"Verified at entry",I25="")),"Check payment, age and check-in time",""))))))</x:f>
      </x:c>
    </x:row>
    <x:row r="26" ht="22" customHeight="1">
      <x:c r="A26" s="9"/>
      <x:c r="B26" s="9"/>
      <x:c r="C26" s="9"/>
      <x:c r="D26" s="9"/>
      <x:c r="E26" s="19"/>
      <x:c r="F26" s="9"/>
      <x:c r="G26" s="9"/>
      <x:c r="H26" s="9"/>
      <x:c r="I26" s="18"/>
      <x:c r="J26" s="13" t="str">
        <x:f>IF(A26="","",IF(COUNTIFS('Bookings'!$A$6:$A$205,B26)&lt;&gt;1,"Booking missing/duplicate",IF(INDEX('Bookings'!$O$6:$O$205,MATCH(B26,'Bookings'!$A$6:$A$205,0))="","Not set",INDEX('Bookings'!$O$6:$O$205,MATCH(B26,'Bookings'!$A$6:$A$205,0)))))</x:f>
      </x:c>
      <x:c r="K26" s="13" t="str">
        <x:f>IF(A26="","",IF(F26="Alcohol-inclusive",8,IF(F26="Non-alcoholic",0,"Set pass type")))</x:f>
      </x:c>
      <x:c r="L26" s="9"/>
      <x:c r="M26" s="13" t="str">
        <x:f>IF(A26="","",IF(ISNUMBER(K26),K26-L26,"Set pass type"))</x:f>
      </x:c>
      <x:c r="N26" s="13" t="str">
        <x:f>IF(A26="","",IF(COUNTIFS($A$6:$A$205,A26)&gt;1,"Duplicate ticket ID",IF(OR(B26="",J26="Booking missing/duplicate"),"Link a unique booking",IF(OR(C26="",D26="",E26="",F26=""),"Complete guest name, Instagram, phone and pass",IF(OR(L26&lt;0,L26&gt;8,L26&lt;&gt;INT(L26),AND(ISNUMBER(K26),L26&gt;K26)),"Invalid coupon redemption",IF(AND(H26="Checked in",OR(J26&lt;&gt;"Confirmed",G26&lt;&gt;"Verified at entry",I26="")),"Check payment, age and check-in time",""))))))</x:f>
      </x:c>
    </x:row>
    <x:row r="27" ht="22" customHeight="1">
      <x:c r="A27" s="9"/>
      <x:c r="B27" s="9"/>
      <x:c r="C27" s="9"/>
      <x:c r="D27" s="9"/>
      <x:c r="E27" s="19"/>
      <x:c r="F27" s="9"/>
      <x:c r="G27" s="9"/>
      <x:c r="H27" s="9"/>
      <x:c r="I27" s="18"/>
      <x:c r="J27" s="13" t="str">
        <x:f>IF(A27="","",IF(COUNTIFS('Bookings'!$A$6:$A$205,B27)&lt;&gt;1,"Booking missing/duplicate",IF(INDEX('Bookings'!$O$6:$O$205,MATCH(B27,'Bookings'!$A$6:$A$205,0))="","Not set",INDEX('Bookings'!$O$6:$O$205,MATCH(B27,'Bookings'!$A$6:$A$205,0)))))</x:f>
      </x:c>
      <x:c r="K27" s="13" t="str">
        <x:f>IF(A27="","",IF(F27="Alcohol-inclusive",8,IF(F27="Non-alcoholic",0,"Set pass type")))</x:f>
      </x:c>
      <x:c r="L27" s="9"/>
      <x:c r="M27" s="13" t="str">
        <x:f>IF(A27="","",IF(ISNUMBER(K27),K27-L27,"Set pass type"))</x:f>
      </x:c>
      <x:c r="N27" s="13" t="str">
        <x:f>IF(A27="","",IF(COUNTIFS($A$6:$A$205,A27)&gt;1,"Duplicate ticket ID",IF(OR(B27="",J27="Booking missing/duplicate"),"Link a unique booking",IF(OR(C27="",D27="",E27="",F27=""),"Complete guest name, Instagram, phone and pass",IF(OR(L27&lt;0,L27&gt;8,L27&lt;&gt;INT(L27),AND(ISNUMBER(K27),L27&gt;K27)),"Invalid coupon redemption",IF(AND(H27="Checked in",OR(J27&lt;&gt;"Confirmed",G27&lt;&gt;"Verified at entry",I27="")),"Check payment, age and check-in time",""))))))</x:f>
      </x:c>
    </x:row>
    <x:row r="28" ht="22" customHeight="1">
      <x:c r="A28" s="9"/>
      <x:c r="B28" s="9"/>
      <x:c r="C28" s="9"/>
      <x:c r="D28" s="9"/>
      <x:c r="E28" s="19"/>
      <x:c r="F28" s="9"/>
      <x:c r="G28" s="9"/>
      <x:c r="H28" s="9"/>
      <x:c r="I28" s="18"/>
      <x:c r="J28" s="13" t="str">
        <x:f>IF(A28="","",IF(COUNTIFS('Bookings'!$A$6:$A$205,B28)&lt;&gt;1,"Booking missing/duplicate",IF(INDEX('Bookings'!$O$6:$O$205,MATCH(B28,'Bookings'!$A$6:$A$205,0))="","Not set",INDEX('Bookings'!$O$6:$O$205,MATCH(B28,'Bookings'!$A$6:$A$205,0)))))</x:f>
      </x:c>
      <x:c r="K28" s="13" t="str">
        <x:f>IF(A28="","",IF(F28="Alcohol-inclusive",8,IF(F28="Non-alcoholic",0,"Set pass type")))</x:f>
      </x:c>
      <x:c r="L28" s="9"/>
      <x:c r="M28" s="13" t="str">
        <x:f>IF(A28="","",IF(ISNUMBER(K28),K28-L28,"Set pass type"))</x:f>
      </x:c>
      <x:c r="N28" s="13" t="str">
        <x:f>IF(A28="","",IF(COUNTIFS($A$6:$A$205,A28)&gt;1,"Duplicate ticket ID",IF(OR(B28="",J28="Booking missing/duplicate"),"Link a unique booking",IF(OR(C28="",D28="",E28="",F28=""),"Complete guest name, Instagram, phone and pass",IF(OR(L28&lt;0,L28&gt;8,L28&lt;&gt;INT(L28),AND(ISNUMBER(K28),L28&gt;K28)),"Invalid coupon redemption",IF(AND(H28="Checked in",OR(J28&lt;&gt;"Confirmed",G28&lt;&gt;"Verified at entry",I28="")),"Check payment, age and check-in time",""))))))</x:f>
      </x:c>
    </x:row>
    <x:row r="29" ht="22" customHeight="1">
      <x:c r="A29" s="9"/>
      <x:c r="B29" s="9"/>
      <x:c r="C29" s="9"/>
      <x:c r="D29" s="9"/>
      <x:c r="E29" s="19"/>
      <x:c r="F29" s="9"/>
      <x:c r="G29" s="9"/>
      <x:c r="H29" s="9"/>
      <x:c r="I29" s="18"/>
      <x:c r="J29" s="13" t="str">
        <x:f>IF(A29="","",IF(COUNTIFS('Bookings'!$A$6:$A$205,B29)&lt;&gt;1,"Booking missing/duplicate",IF(INDEX('Bookings'!$O$6:$O$205,MATCH(B29,'Bookings'!$A$6:$A$205,0))="","Not set",INDEX('Bookings'!$O$6:$O$205,MATCH(B29,'Bookings'!$A$6:$A$205,0)))))</x:f>
      </x:c>
      <x:c r="K29" s="13" t="str">
        <x:f>IF(A29="","",IF(F29="Alcohol-inclusive",8,IF(F29="Non-alcoholic",0,"Set pass type")))</x:f>
      </x:c>
      <x:c r="L29" s="9"/>
      <x:c r="M29" s="13" t="str">
        <x:f>IF(A29="","",IF(ISNUMBER(K29),K29-L29,"Set pass type"))</x:f>
      </x:c>
      <x:c r="N29" s="13" t="str">
        <x:f>IF(A29="","",IF(COUNTIFS($A$6:$A$205,A29)&gt;1,"Duplicate ticket ID",IF(OR(B29="",J29="Booking missing/duplicate"),"Link a unique booking",IF(OR(C29="",D29="",E29="",F29=""),"Complete guest name, Instagram, phone and pass",IF(OR(L29&lt;0,L29&gt;8,L29&lt;&gt;INT(L29),AND(ISNUMBER(K29),L29&gt;K29)),"Invalid coupon redemption",IF(AND(H29="Checked in",OR(J29&lt;&gt;"Confirmed",G29&lt;&gt;"Verified at entry",I29="")),"Check payment, age and check-in time",""))))))</x:f>
      </x:c>
    </x:row>
    <x:row r="30" ht="22" customHeight="1">
      <x:c r="A30" s="9"/>
      <x:c r="B30" s="9"/>
      <x:c r="C30" s="9"/>
      <x:c r="D30" s="9"/>
      <x:c r="E30" s="19"/>
      <x:c r="F30" s="9"/>
      <x:c r="G30" s="9"/>
      <x:c r="H30" s="9"/>
      <x:c r="I30" s="18"/>
      <x:c r="J30" s="13" t="str">
        <x:f>IF(A30="","",IF(COUNTIFS('Bookings'!$A$6:$A$205,B30)&lt;&gt;1,"Booking missing/duplicate",IF(INDEX('Bookings'!$O$6:$O$205,MATCH(B30,'Bookings'!$A$6:$A$205,0))="","Not set",INDEX('Bookings'!$O$6:$O$205,MATCH(B30,'Bookings'!$A$6:$A$205,0)))))</x:f>
      </x:c>
      <x:c r="K30" s="13" t="str">
        <x:f>IF(A30="","",IF(F30="Alcohol-inclusive",8,IF(F30="Non-alcoholic",0,"Set pass type")))</x:f>
      </x:c>
      <x:c r="L30" s="9"/>
      <x:c r="M30" s="13" t="str">
        <x:f>IF(A30="","",IF(ISNUMBER(K30),K30-L30,"Set pass type"))</x:f>
      </x:c>
      <x:c r="N30" s="13" t="str">
        <x:f>IF(A30="","",IF(COUNTIFS($A$6:$A$205,A30)&gt;1,"Duplicate ticket ID",IF(OR(B30="",J30="Booking missing/duplicate"),"Link a unique booking",IF(OR(C30="",D30="",E30="",F30=""),"Complete guest name, Instagram, phone and pass",IF(OR(L30&lt;0,L30&gt;8,L30&lt;&gt;INT(L30),AND(ISNUMBER(K30),L30&gt;K30)),"Invalid coupon redemption",IF(AND(H30="Checked in",OR(J30&lt;&gt;"Confirmed",G30&lt;&gt;"Verified at entry",I30="")),"Check payment, age and check-in time",""))))))</x:f>
      </x:c>
    </x:row>
    <x:row r="31" ht="22" customHeight="1">
      <x:c r="A31" s="9"/>
      <x:c r="B31" s="9"/>
      <x:c r="C31" s="9"/>
      <x:c r="D31" s="9"/>
      <x:c r="E31" s="19"/>
      <x:c r="F31" s="9"/>
      <x:c r="G31" s="9"/>
      <x:c r="H31" s="9"/>
      <x:c r="I31" s="18"/>
      <x:c r="J31" s="13" t="str">
        <x:f>IF(A31="","",IF(COUNTIFS('Bookings'!$A$6:$A$205,B31)&lt;&gt;1,"Booking missing/duplicate",IF(INDEX('Bookings'!$O$6:$O$205,MATCH(B31,'Bookings'!$A$6:$A$205,0))="","Not set",INDEX('Bookings'!$O$6:$O$205,MATCH(B31,'Bookings'!$A$6:$A$205,0)))))</x:f>
      </x:c>
      <x:c r="K31" s="13" t="str">
        <x:f>IF(A31="","",IF(F31="Alcohol-inclusive",8,IF(F31="Non-alcoholic",0,"Set pass type")))</x:f>
      </x:c>
      <x:c r="L31" s="9"/>
      <x:c r="M31" s="13" t="str">
        <x:f>IF(A31="","",IF(ISNUMBER(K31),K31-L31,"Set pass type"))</x:f>
      </x:c>
      <x:c r="N31" s="13" t="str">
        <x:f>IF(A31="","",IF(COUNTIFS($A$6:$A$205,A31)&gt;1,"Duplicate ticket ID",IF(OR(B31="",J31="Booking missing/duplicate"),"Link a unique booking",IF(OR(C31="",D31="",E31="",F31=""),"Complete guest name, Instagram, phone and pass",IF(OR(L31&lt;0,L31&gt;8,L31&lt;&gt;INT(L31),AND(ISNUMBER(K31),L31&gt;K31)),"Invalid coupon redemption",IF(AND(H31="Checked in",OR(J31&lt;&gt;"Confirmed",G31&lt;&gt;"Verified at entry",I31="")),"Check payment, age and check-in time",""))))))</x:f>
      </x:c>
    </x:row>
    <x:row r="32" ht="22" customHeight="1">
      <x:c r="A32" s="9"/>
      <x:c r="B32" s="9"/>
      <x:c r="C32" s="9"/>
      <x:c r="D32" s="9"/>
      <x:c r="E32" s="19"/>
      <x:c r="F32" s="9"/>
      <x:c r="G32" s="9"/>
      <x:c r="H32" s="9"/>
      <x:c r="I32" s="18"/>
      <x:c r="J32" s="13" t="str">
        <x:f>IF(A32="","",IF(COUNTIFS('Bookings'!$A$6:$A$205,B32)&lt;&gt;1,"Booking missing/duplicate",IF(INDEX('Bookings'!$O$6:$O$205,MATCH(B32,'Bookings'!$A$6:$A$205,0))="","Not set",INDEX('Bookings'!$O$6:$O$205,MATCH(B32,'Bookings'!$A$6:$A$205,0)))))</x:f>
      </x:c>
      <x:c r="K32" s="13" t="str">
        <x:f>IF(A32="","",IF(F32="Alcohol-inclusive",8,IF(F32="Non-alcoholic",0,"Set pass type")))</x:f>
      </x:c>
      <x:c r="L32" s="9"/>
      <x:c r="M32" s="13" t="str">
        <x:f>IF(A32="","",IF(ISNUMBER(K32),K32-L32,"Set pass type"))</x:f>
      </x:c>
      <x:c r="N32" s="13" t="str">
        <x:f>IF(A32="","",IF(COUNTIFS($A$6:$A$205,A32)&gt;1,"Duplicate ticket ID",IF(OR(B32="",J32="Booking missing/duplicate"),"Link a unique booking",IF(OR(C32="",D32="",E32="",F32=""),"Complete guest name, Instagram, phone and pass",IF(OR(L32&lt;0,L32&gt;8,L32&lt;&gt;INT(L32),AND(ISNUMBER(K32),L32&gt;K32)),"Invalid coupon redemption",IF(AND(H32="Checked in",OR(J32&lt;&gt;"Confirmed",G32&lt;&gt;"Verified at entry",I32="")),"Check payment, age and check-in time",""))))))</x:f>
      </x:c>
    </x:row>
    <x:row r="33" ht="22" customHeight="1">
      <x:c r="A33" s="9"/>
      <x:c r="B33" s="9"/>
      <x:c r="C33" s="9"/>
      <x:c r="D33" s="9"/>
      <x:c r="E33" s="19"/>
      <x:c r="F33" s="9"/>
      <x:c r="G33" s="9"/>
      <x:c r="H33" s="9"/>
      <x:c r="I33" s="18"/>
      <x:c r="J33" s="13" t="str">
        <x:f>IF(A33="","",IF(COUNTIFS('Bookings'!$A$6:$A$205,B33)&lt;&gt;1,"Booking missing/duplicate",IF(INDEX('Bookings'!$O$6:$O$205,MATCH(B33,'Bookings'!$A$6:$A$205,0))="","Not set",INDEX('Bookings'!$O$6:$O$205,MATCH(B33,'Bookings'!$A$6:$A$205,0)))))</x:f>
      </x:c>
      <x:c r="K33" s="13" t="str">
        <x:f>IF(A33="","",IF(F33="Alcohol-inclusive",8,IF(F33="Non-alcoholic",0,"Set pass type")))</x:f>
      </x:c>
      <x:c r="L33" s="9"/>
      <x:c r="M33" s="13" t="str">
        <x:f>IF(A33="","",IF(ISNUMBER(K33),K33-L33,"Set pass type"))</x:f>
      </x:c>
      <x:c r="N33" s="13" t="str">
        <x:f>IF(A33="","",IF(COUNTIFS($A$6:$A$205,A33)&gt;1,"Duplicate ticket ID",IF(OR(B33="",J33="Booking missing/duplicate"),"Link a unique booking",IF(OR(C33="",D33="",E33="",F33=""),"Complete guest name, Instagram, phone and pass",IF(OR(L33&lt;0,L33&gt;8,L33&lt;&gt;INT(L33),AND(ISNUMBER(K33),L33&gt;K33)),"Invalid coupon redemption",IF(AND(H33="Checked in",OR(J33&lt;&gt;"Confirmed",G33&lt;&gt;"Verified at entry",I33="")),"Check payment, age and check-in time",""))))))</x:f>
      </x:c>
    </x:row>
    <x:row r="34" ht="22" customHeight="1">
      <x:c r="A34" s="9"/>
      <x:c r="B34" s="9"/>
      <x:c r="C34" s="9"/>
      <x:c r="D34" s="9"/>
      <x:c r="E34" s="19"/>
      <x:c r="F34" s="9"/>
      <x:c r="G34" s="9"/>
      <x:c r="H34" s="9"/>
      <x:c r="I34" s="18"/>
      <x:c r="J34" s="13" t="str">
        <x:f>IF(A34="","",IF(COUNTIFS('Bookings'!$A$6:$A$205,B34)&lt;&gt;1,"Booking missing/duplicate",IF(INDEX('Bookings'!$O$6:$O$205,MATCH(B34,'Bookings'!$A$6:$A$205,0))="","Not set",INDEX('Bookings'!$O$6:$O$205,MATCH(B34,'Bookings'!$A$6:$A$205,0)))))</x:f>
      </x:c>
      <x:c r="K34" s="13" t="str">
        <x:f>IF(A34="","",IF(F34="Alcohol-inclusive",8,IF(F34="Non-alcoholic",0,"Set pass type")))</x:f>
      </x:c>
      <x:c r="L34" s="9"/>
      <x:c r="M34" s="13" t="str">
        <x:f>IF(A34="","",IF(ISNUMBER(K34),K34-L34,"Set pass type"))</x:f>
      </x:c>
      <x:c r="N34" s="13" t="str">
        <x:f>IF(A34="","",IF(COUNTIFS($A$6:$A$205,A34)&gt;1,"Duplicate ticket ID",IF(OR(B34="",J34="Booking missing/duplicate"),"Link a unique booking",IF(OR(C34="",D34="",E34="",F34=""),"Complete guest name, Instagram, phone and pass",IF(OR(L34&lt;0,L34&gt;8,L34&lt;&gt;INT(L34),AND(ISNUMBER(K34),L34&gt;K34)),"Invalid coupon redemption",IF(AND(H34="Checked in",OR(J34&lt;&gt;"Confirmed",G34&lt;&gt;"Verified at entry",I34="")),"Check payment, age and check-in time",""))))))</x:f>
      </x:c>
    </x:row>
    <x:row r="35" ht="22" customHeight="1">
      <x:c r="A35" s="9"/>
      <x:c r="B35" s="9"/>
      <x:c r="C35" s="9"/>
      <x:c r="D35" s="9"/>
      <x:c r="E35" s="19"/>
      <x:c r="F35" s="9"/>
      <x:c r="G35" s="9"/>
      <x:c r="H35" s="9"/>
      <x:c r="I35" s="18"/>
      <x:c r="J35" s="13" t="str">
        <x:f>IF(A35="","",IF(COUNTIFS('Bookings'!$A$6:$A$205,B35)&lt;&gt;1,"Booking missing/duplicate",IF(INDEX('Bookings'!$O$6:$O$205,MATCH(B35,'Bookings'!$A$6:$A$205,0))="","Not set",INDEX('Bookings'!$O$6:$O$205,MATCH(B35,'Bookings'!$A$6:$A$205,0)))))</x:f>
      </x:c>
      <x:c r="K35" s="13" t="str">
        <x:f>IF(A35="","",IF(F35="Alcohol-inclusive",8,IF(F35="Non-alcoholic",0,"Set pass type")))</x:f>
      </x:c>
      <x:c r="L35" s="9"/>
      <x:c r="M35" s="13" t="str">
        <x:f>IF(A35="","",IF(ISNUMBER(K35),K35-L35,"Set pass type"))</x:f>
      </x:c>
      <x:c r="N35" s="13" t="str">
        <x:f>IF(A35="","",IF(COUNTIFS($A$6:$A$205,A35)&gt;1,"Duplicate ticket ID",IF(OR(B35="",J35="Booking missing/duplicate"),"Link a unique booking",IF(OR(C35="",D35="",E35="",F35=""),"Complete guest name, Instagram, phone and pass",IF(OR(L35&lt;0,L35&gt;8,L35&lt;&gt;INT(L35),AND(ISNUMBER(K35),L35&gt;K35)),"Invalid coupon redemption",IF(AND(H35="Checked in",OR(J35&lt;&gt;"Confirmed",G35&lt;&gt;"Verified at entry",I35="")),"Check payment, age and check-in time",""))))))</x:f>
      </x:c>
    </x:row>
    <x:row r="36" ht="22" customHeight="1">
      <x:c r="A36" s="9"/>
      <x:c r="B36" s="9"/>
      <x:c r="C36" s="9"/>
      <x:c r="D36" s="9"/>
      <x:c r="E36" s="19"/>
      <x:c r="F36" s="9"/>
      <x:c r="G36" s="9"/>
      <x:c r="H36" s="9"/>
      <x:c r="I36" s="18"/>
      <x:c r="J36" s="13" t="str">
        <x:f>IF(A36="","",IF(COUNTIFS('Bookings'!$A$6:$A$205,B36)&lt;&gt;1,"Booking missing/duplicate",IF(INDEX('Bookings'!$O$6:$O$205,MATCH(B36,'Bookings'!$A$6:$A$205,0))="","Not set",INDEX('Bookings'!$O$6:$O$205,MATCH(B36,'Bookings'!$A$6:$A$205,0)))))</x:f>
      </x:c>
      <x:c r="K36" s="13" t="str">
        <x:f>IF(A36="","",IF(F36="Alcohol-inclusive",8,IF(F36="Non-alcoholic",0,"Set pass type")))</x:f>
      </x:c>
      <x:c r="L36" s="9"/>
      <x:c r="M36" s="13" t="str">
        <x:f>IF(A36="","",IF(ISNUMBER(K36),K36-L36,"Set pass type"))</x:f>
      </x:c>
      <x:c r="N36" s="13" t="str">
        <x:f>IF(A36="","",IF(COUNTIFS($A$6:$A$205,A36)&gt;1,"Duplicate ticket ID",IF(OR(B36="",J36="Booking missing/duplicate"),"Link a unique booking",IF(OR(C36="",D36="",E36="",F36=""),"Complete guest name, Instagram, phone and pass",IF(OR(L36&lt;0,L36&gt;8,L36&lt;&gt;INT(L36),AND(ISNUMBER(K36),L36&gt;K36)),"Invalid coupon redemption",IF(AND(H36="Checked in",OR(J36&lt;&gt;"Confirmed",G36&lt;&gt;"Verified at entry",I36="")),"Check payment, age and check-in time",""))))))</x:f>
      </x:c>
    </x:row>
    <x:row r="37" ht="22" customHeight="1">
      <x:c r="A37" s="9"/>
      <x:c r="B37" s="9"/>
      <x:c r="C37" s="9"/>
      <x:c r="D37" s="9"/>
      <x:c r="E37" s="19"/>
      <x:c r="F37" s="9"/>
      <x:c r="G37" s="9"/>
      <x:c r="H37" s="9"/>
      <x:c r="I37" s="18"/>
      <x:c r="J37" s="13" t="str">
        <x:f>IF(A37="","",IF(COUNTIFS('Bookings'!$A$6:$A$205,B37)&lt;&gt;1,"Booking missing/duplicate",IF(INDEX('Bookings'!$O$6:$O$205,MATCH(B37,'Bookings'!$A$6:$A$205,0))="","Not set",INDEX('Bookings'!$O$6:$O$205,MATCH(B37,'Bookings'!$A$6:$A$205,0)))))</x:f>
      </x:c>
      <x:c r="K37" s="13" t="str">
        <x:f>IF(A37="","",IF(F37="Alcohol-inclusive",8,IF(F37="Non-alcoholic",0,"Set pass type")))</x:f>
      </x:c>
      <x:c r="L37" s="9"/>
      <x:c r="M37" s="13" t="str">
        <x:f>IF(A37="","",IF(ISNUMBER(K37),K37-L37,"Set pass type"))</x:f>
      </x:c>
      <x:c r="N37" s="13" t="str">
        <x:f>IF(A37="","",IF(COUNTIFS($A$6:$A$205,A37)&gt;1,"Duplicate ticket ID",IF(OR(B37="",J37="Booking missing/duplicate"),"Link a unique booking",IF(OR(C37="",D37="",E37="",F37=""),"Complete guest name, Instagram, phone and pass",IF(OR(L37&lt;0,L37&gt;8,L37&lt;&gt;INT(L37),AND(ISNUMBER(K37),L37&gt;K37)),"Invalid coupon redemption",IF(AND(H37="Checked in",OR(J37&lt;&gt;"Confirmed",G37&lt;&gt;"Verified at entry",I37="")),"Check payment, age and check-in time",""))))))</x:f>
      </x:c>
    </x:row>
    <x:row r="38" ht="22" customHeight="1">
      <x:c r="A38" s="9"/>
      <x:c r="B38" s="9"/>
      <x:c r="C38" s="9"/>
      <x:c r="D38" s="9"/>
      <x:c r="E38" s="19"/>
      <x:c r="F38" s="9"/>
      <x:c r="G38" s="9"/>
      <x:c r="H38" s="9"/>
      <x:c r="I38" s="18"/>
      <x:c r="J38" s="13" t="str">
        <x:f>IF(A38="","",IF(COUNTIFS('Bookings'!$A$6:$A$205,B38)&lt;&gt;1,"Booking missing/duplicate",IF(INDEX('Bookings'!$O$6:$O$205,MATCH(B38,'Bookings'!$A$6:$A$205,0))="","Not set",INDEX('Bookings'!$O$6:$O$205,MATCH(B38,'Bookings'!$A$6:$A$205,0)))))</x:f>
      </x:c>
      <x:c r="K38" s="13" t="str">
        <x:f>IF(A38="","",IF(F38="Alcohol-inclusive",8,IF(F38="Non-alcoholic",0,"Set pass type")))</x:f>
      </x:c>
      <x:c r="L38" s="9"/>
      <x:c r="M38" s="13" t="str">
        <x:f>IF(A38="","",IF(ISNUMBER(K38),K38-L38,"Set pass type"))</x:f>
      </x:c>
      <x:c r="N38" s="13" t="str">
        <x:f>IF(A38="","",IF(COUNTIFS($A$6:$A$205,A38)&gt;1,"Duplicate ticket ID",IF(OR(B38="",J38="Booking missing/duplicate"),"Link a unique booking",IF(OR(C38="",D38="",E38="",F38=""),"Complete guest name, Instagram, phone and pass",IF(OR(L38&lt;0,L38&gt;8,L38&lt;&gt;INT(L38),AND(ISNUMBER(K38),L38&gt;K38)),"Invalid coupon redemption",IF(AND(H38="Checked in",OR(J38&lt;&gt;"Confirmed",G38&lt;&gt;"Verified at entry",I38="")),"Check payment, age and check-in time",""))))))</x:f>
      </x:c>
    </x:row>
    <x:row r="39" ht="22" customHeight="1">
      <x:c r="A39" s="9"/>
      <x:c r="B39" s="9"/>
      <x:c r="C39" s="9"/>
      <x:c r="D39" s="9"/>
      <x:c r="E39" s="19"/>
      <x:c r="F39" s="9"/>
      <x:c r="G39" s="9"/>
      <x:c r="H39" s="9"/>
      <x:c r="I39" s="18"/>
      <x:c r="J39" s="13" t="str">
        <x:f>IF(A39="","",IF(COUNTIFS('Bookings'!$A$6:$A$205,B39)&lt;&gt;1,"Booking missing/duplicate",IF(INDEX('Bookings'!$O$6:$O$205,MATCH(B39,'Bookings'!$A$6:$A$205,0))="","Not set",INDEX('Bookings'!$O$6:$O$205,MATCH(B39,'Bookings'!$A$6:$A$205,0)))))</x:f>
      </x:c>
      <x:c r="K39" s="13" t="str">
        <x:f>IF(A39="","",IF(F39="Alcohol-inclusive",8,IF(F39="Non-alcoholic",0,"Set pass type")))</x:f>
      </x:c>
      <x:c r="L39" s="9"/>
      <x:c r="M39" s="13" t="str">
        <x:f>IF(A39="","",IF(ISNUMBER(K39),K39-L39,"Set pass type"))</x:f>
      </x:c>
      <x:c r="N39" s="13" t="str">
        <x:f>IF(A39="","",IF(COUNTIFS($A$6:$A$205,A39)&gt;1,"Duplicate ticket ID",IF(OR(B39="",J39="Booking missing/duplicate"),"Link a unique booking",IF(OR(C39="",D39="",E39="",F39=""),"Complete guest name, Instagram, phone and pass",IF(OR(L39&lt;0,L39&gt;8,L39&lt;&gt;INT(L39),AND(ISNUMBER(K39),L39&gt;K39)),"Invalid coupon redemption",IF(AND(H39="Checked in",OR(J39&lt;&gt;"Confirmed",G39&lt;&gt;"Verified at entry",I39="")),"Check payment, age and check-in time",""))))))</x:f>
      </x:c>
    </x:row>
    <x:row r="40" ht="22" customHeight="1">
      <x:c r="A40" s="9"/>
      <x:c r="B40" s="9"/>
      <x:c r="C40" s="9"/>
      <x:c r="D40" s="9"/>
      <x:c r="E40" s="19"/>
      <x:c r="F40" s="9"/>
      <x:c r="G40" s="9"/>
      <x:c r="H40" s="9"/>
      <x:c r="I40" s="18"/>
      <x:c r="J40" s="13" t="str">
        <x:f>IF(A40="","",IF(COUNTIFS('Bookings'!$A$6:$A$205,B40)&lt;&gt;1,"Booking missing/duplicate",IF(INDEX('Bookings'!$O$6:$O$205,MATCH(B40,'Bookings'!$A$6:$A$205,0))="","Not set",INDEX('Bookings'!$O$6:$O$205,MATCH(B40,'Bookings'!$A$6:$A$205,0)))))</x:f>
      </x:c>
      <x:c r="K40" s="13" t="str">
        <x:f>IF(A40="","",IF(F40="Alcohol-inclusive",8,IF(F40="Non-alcoholic",0,"Set pass type")))</x:f>
      </x:c>
      <x:c r="L40" s="9"/>
      <x:c r="M40" s="13" t="str">
        <x:f>IF(A40="","",IF(ISNUMBER(K40),K40-L40,"Set pass type"))</x:f>
      </x:c>
      <x:c r="N40" s="13" t="str">
        <x:f>IF(A40="","",IF(COUNTIFS($A$6:$A$205,A40)&gt;1,"Duplicate ticket ID",IF(OR(B40="",J40="Booking missing/duplicate"),"Link a unique booking",IF(OR(C40="",D40="",E40="",F40=""),"Complete guest name, Instagram, phone and pass",IF(OR(L40&lt;0,L40&gt;8,L40&lt;&gt;INT(L40),AND(ISNUMBER(K40),L40&gt;K40)),"Invalid coupon redemption",IF(AND(H40="Checked in",OR(J40&lt;&gt;"Confirmed",G40&lt;&gt;"Verified at entry",I40="")),"Check payment, age and check-in time",""))))))</x:f>
      </x:c>
    </x:row>
    <x:row r="41" ht="22" customHeight="1">
      <x:c r="A41" s="9"/>
      <x:c r="B41" s="9"/>
      <x:c r="C41" s="9"/>
      <x:c r="D41" s="9"/>
      <x:c r="E41" s="19"/>
      <x:c r="F41" s="9"/>
      <x:c r="G41" s="9"/>
      <x:c r="H41" s="9"/>
      <x:c r="I41" s="18"/>
      <x:c r="J41" s="13" t="str">
        <x:f>IF(A41="","",IF(COUNTIFS('Bookings'!$A$6:$A$205,B41)&lt;&gt;1,"Booking missing/duplicate",IF(INDEX('Bookings'!$O$6:$O$205,MATCH(B41,'Bookings'!$A$6:$A$205,0))="","Not set",INDEX('Bookings'!$O$6:$O$205,MATCH(B41,'Bookings'!$A$6:$A$205,0)))))</x:f>
      </x:c>
      <x:c r="K41" s="13" t="str">
        <x:f>IF(A41="","",IF(F41="Alcohol-inclusive",8,IF(F41="Non-alcoholic",0,"Set pass type")))</x:f>
      </x:c>
      <x:c r="L41" s="9"/>
      <x:c r="M41" s="13" t="str">
        <x:f>IF(A41="","",IF(ISNUMBER(K41),K41-L41,"Set pass type"))</x:f>
      </x:c>
      <x:c r="N41" s="13" t="str">
        <x:f>IF(A41="","",IF(COUNTIFS($A$6:$A$205,A41)&gt;1,"Duplicate ticket ID",IF(OR(B41="",J41="Booking missing/duplicate"),"Link a unique booking",IF(OR(C41="",D41="",E41="",F41=""),"Complete guest name, Instagram, phone and pass",IF(OR(L41&lt;0,L41&gt;8,L41&lt;&gt;INT(L41),AND(ISNUMBER(K41),L41&gt;K41)),"Invalid coupon redemption",IF(AND(H41="Checked in",OR(J41&lt;&gt;"Confirmed",G41&lt;&gt;"Verified at entry",I41="")),"Check payment, age and check-in time",""))))))</x:f>
      </x:c>
    </x:row>
    <x:row r="42" ht="22" customHeight="1">
      <x:c r="A42" s="9"/>
      <x:c r="B42" s="9"/>
      <x:c r="C42" s="9"/>
      <x:c r="D42" s="9"/>
      <x:c r="E42" s="19"/>
      <x:c r="F42" s="9"/>
      <x:c r="G42" s="9"/>
      <x:c r="H42" s="9"/>
      <x:c r="I42" s="18"/>
      <x:c r="J42" s="13" t="str">
        <x:f>IF(A42="","",IF(COUNTIFS('Bookings'!$A$6:$A$205,B42)&lt;&gt;1,"Booking missing/duplicate",IF(INDEX('Bookings'!$O$6:$O$205,MATCH(B42,'Bookings'!$A$6:$A$205,0))="","Not set",INDEX('Bookings'!$O$6:$O$205,MATCH(B42,'Bookings'!$A$6:$A$205,0)))))</x:f>
      </x:c>
      <x:c r="K42" s="13" t="str">
        <x:f>IF(A42="","",IF(F42="Alcohol-inclusive",8,IF(F42="Non-alcoholic",0,"Set pass type")))</x:f>
      </x:c>
      <x:c r="L42" s="9"/>
      <x:c r="M42" s="13" t="str">
        <x:f>IF(A42="","",IF(ISNUMBER(K42),K42-L42,"Set pass type"))</x:f>
      </x:c>
      <x:c r="N42" s="13" t="str">
        <x:f>IF(A42="","",IF(COUNTIFS($A$6:$A$205,A42)&gt;1,"Duplicate ticket ID",IF(OR(B42="",J42="Booking missing/duplicate"),"Link a unique booking",IF(OR(C42="",D42="",E42="",F42=""),"Complete guest name, Instagram, phone and pass",IF(OR(L42&lt;0,L42&gt;8,L42&lt;&gt;INT(L42),AND(ISNUMBER(K42),L42&gt;K42)),"Invalid coupon redemption",IF(AND(H42="Checked in",OR(J42&lt;&gt;"Confirmed",G42&lt;&gt;"Verified at entry",I42="")),"Check payment, age and check-in time",""))))))</x:f>
      </x:c>
    </x:row>
    <x:row r="43" ht="22" customHeight="1">
      <x:c r="A43" s="9"/>
      <x:c r="B43" s="9"/>
      <x:c r="C43" s="9"/>
      <x:c r="D43" s="9"/>
      <x:c r="E43" s="19"/>
      <x:c r="F43" s="9"/>
      <x:c r="G43" s="9"/>
      <x:c r="H43" s="9"/>
      <x:c r="I43" s="18"/>
      <x:c r="J43" s="13" t="str">
        <x:f>IF(A43="","",IF(COUNTIFS('Bookings'!$A$6:$A$205,B43)&lt;&gt;1,"Booking missing/duplicate",IF(INDEX('Bookings'!$O$6:$O$205,MATCH(B43,'Bookings'!$A$6:$A$205,0))="","Not set",INDEX('Bookings'!$O$6:$O$205,MATCH(B43,'Bookings'!$A$6:$A$205,0)))))</x:f>
      </x:c>
      <x:c r="K43" s="13" t="str">
        <x:f>IF(A43="","",IF(F43="Alcohol-inclusive",8,IF(F43="Non-alcoholic",0,"Set pass type")))</x:f>
      </x:c>
      <x:c r="L43" s="9"/>
      <x:c r="M43" s="13" t="str">
        <x:f>IF(A43="","",IF(ISNUMBER(K43),K43-L43,"Set pass type"))</x:f>
      </x:c>
      <x:c r="N43" s="13" t="str">
        <x:f>IF(A43="","",IF(COUNTIFS($A$6:$A$205,A43)&gt;1,"Duplicate ticket ID",IF(OR(B43="",J43="Booking missing/duplicate"),"Link a unique booking",IF(OR(C43="",D43="",E43="",F43=""),"Complete guest name, Instagram, phone and pass",IF(OR(L43&lt;0,L43&gt;8,L43&lt;&gt;INT(L43),AND(ISNUMBER(K43),L43&gt;K43)),"Invalid coupon redemption",IF(AND(H43="Checked in",OR(J43&lt;&gt;"Confirmed",G43&lt;&gt;"Verified at entry",I43="")),"Check payment, age and check-in time",""))))))</x:f>
      </x:c>
    </x:row>
    <x:row r="44" ht="22" customHeight="1">
      <x:c r="A44" s="9"/>
      <x:c r="B44" s="9"/>
      <x:c r="C44" s="9"/>
      <x:c r="D44" s="9"/>
      <x:c r="E44" s="19"/>
      <x:c r="F44" s="9"/>
      <x:c r="G44" s="9"/>
      <x:c r="H44" s="9"/>
      <x:c r="I44" s="18"/>
      <x:c r="J44" s="13" t="str">
        <x:f>IF(A44="","",IF(COUNTIFS('Bookings'!$A$6:$A$205,B44)&lt;&gt;1,"Booking missing/duplicate",IF(INDEX('Bookings'!$O$6:$O$205,MATCH(B44,'Bookings'!$A$6:$A$205,0))="","Not set",INDEX('Bookings'!$O$6:$O$205,MATCH(B44,'Bookings'!$A$6:$A$205,0)))))</x:f>
      </x:c>
      <x:c r="K44" s="13" t="str">
        <x:f>IF(A44="","",IF(F44="Alcohol-inclusive",8,IF(F44="Non-alcoholic",0,"Set pass type")))</x:f>
      </x:c>
      <x:c r="L44" s="9"/>
      <x:c r="M44" s="13" t="str">
        <x:f>IF(A44="","",IF(ISNUMBER(K44),K44-L44,"Set pass type"))</x:f>
      </x:c>
      <x:c r="N44" s="13" t="str">
        <x:f>IF(A44="","",IF(COUNTIFS($A$6:$A$205,A44)&gt;1,"Duplicate ticket ID",IF(OR(B44="",J44="Booking missing/duplicate"),"Link a unique booking",IF(OR(C44="",D44="",E44="",F44=""),"Complete guest name, Instagram, phone and pass",IF(OR(L44&lt;0,L44&gt;8,L44&lt;&gt;INT(L44),AND(ISNUMBER(K44),L44&gt;K44)),"Invalid coupon redemption",IF(AND(H44="Checked in",OR(J44&lt;&gt;"Confirmed",G44&lt;&gt;"Verified at entry",I44="")),"Check payment, age and check-in time",""))))))</x:f>
      </x:c>
    </x:row>
    <x:row r="45" ht="22" customHeight="1">
      <x:c r="A45" s="9"/>
      <x:c r="B45" s="9"/>
      <x:c r="C45" s="9"/>
      <x:c r="D45" s="9"/>
      <x:c r="E45" s="19"/>
      <x:c r="F45" s="9"/>
      <x:c r="G45" s="9"/>
      <x:c r="H45" s="9"/>
      <x:c r="I45" s="18"/>
      <x:c r="J45" s="13" t="str">
        <x:f>IF(A45="","",IF(COUNTIFS('Bookings'!$A$6:$A$205,B45)&lt;&gt;1,"Booking missing/duplicate",IF(INDEX('Bookings'!$O$6:$O$205,MATCH(B45,'Bookings'!$A$6:$A$205,0))="","Not set",INDEX('Bookings'!$O$6:$O$205,MATCH(B45,'Bookings'!$A$6:$A$205,0)))))</x:f>
      </x:c>
      <x:c r="K45" s="13" t="str">
        <x:f>IF(A45="","",IF(F45="Alcohol-inclusive",8,IF(F45="Non-alcoholic",0,"Set pass type")))</x:f>
      </x:c>
      <x:c r="L45" s="9"/>
      <x:c r="M45" s="13" t="str">
        <x:f>IF(A45="","",IF(ISNUMBER(K45),K45-L45,"Set pass type"))</x:f>
      </x:c>
      <x:c r="N45" s="13" t="str">
        <x:f>IF(A45="","",IF(COUNTIFS($A$6:$A$205,A45)&gt;1,"Duplicate ticket ID",IF(OR(B45="",J45="Booking missing/duplicate"),"Link a unique booking",IF(OR(C45="",D45="",E45="",F45=""),"Complete guest name, Instagram, phone and pass",IF(OR(L45&lt;0,L45&gt;8,L45&lt;&gt;INT(L45),AND(ISNUMBER(K45),L45&gt;K45)),"Invalid coupon redemption",IF(AND(H45="Checked in",OR(J45&lt;&gt;"Confirmed",G45&lt;&gt;"Verified at entry",I45="")),"Check payment, age and check-in time",""))))))</x:f>
      </x:c>
    </x:row>
    <x:row r="46" ht="22" customHeight="1">
      <x:c r="A46" s="9"/>
      <x:c r="B46" s="9"/>
      <x:c r="C46" s="9"/>
      <x:c r="D46" s="9"/>
      <x:c r="E46" s="19"/>
      <x:c r="F46" s="9"/>
      <x:c r="G46" s="9"/>
      <x:c r="H46" s="9"/>
      <x:c r="I46" s="18"/>
      <x:c r="J46" s="13" t="str">
        <x:f>IF(A46="","",IF(COUNTIFS('Bookings'!$A$6:$A$205,B46)&lt;&gt;1,"Booking missing/duplicate",IF(INDEX('Bookings'!$O$6:$O$205,MATCH(B46,'Bookings'!$A$6:$A$205,0))="","Not set",INDEX('Bookings'!$O$6:$O$205,MATCH(B46,'Bookings'!$A$6:$A$205,0)))))</x:f>
      </x:c>
      <x:c r="K46" s="13" t="str">
        <x:f>IF(A46="","",IF(F46="Alcohol-inclusive",8,IF(F46="Non-alcoholic",0,"Set pass type")))</x:f>
      </x:c>
      <x:c r="L46" s="9"/>
      <x:c r="M46" s="13" t="str">
        <x:f>IF(A46="","",IF(ISNUMBER(K46),K46-L46,"Set pass type"))</x:f>
      </x:c>
      <x:c r="N46" s="13" t="str">
        <x:f>IF(A46="","",IF(COUNTIFS($A$6:$A$205,A46)&gt;1,"Duplicate ticket ID",IF(OR(B46="",J46="Booking missing/duplicate"),"Link a unique booking",IF(OR(C46="",D46="",E46="",F46=""),"Complete guest name, Instagram, phone and pass",IF(OR(L46&lt;0,L46&gt;8,L46&lt;&gt;INT(L46),AND(ISNUMBER(K46),L46&gt;K46)),"Invalid coupon redemption",IF(AND(H46="Checked in",OR(J46&lt;&gt;"Confirmed",G46&lt;&gt;"Verified at entry",I46="")),"Check payment, age and check-in time",""))))))</x:f>
      </x:c>
    </x:row>
    <x:row r="47" ht="22" customHeight="1">
      <x:c r="A47" s="9"/>
      <x:c r="B47" s="9"/>
      <x:c r="C47" s="9"/>
      <x:c r="D47" s="9"/>
      <x:c r="E47" s="19"/>
      <x:c r="F47" s="9"/>
      <x:c r="G47" s="9"/>
      <x:c r="H47" s="9"/>
      <x:c r="I47" s="18"/>
      <x:c r="J47" s="13" t="str">
        <x:f>IF(A47="","",IF(COUNTIFS('Bookings'!$A$6:$A$205,B47)&lt;&gt;1,"Booking missing/duplicate",IF(INDEX('Bookings'!$O$6:$O$205,MATCH(B47,'Bookings'!$A$6:$A$205,0))="","Not set",INDEX('Bookings'!$O$6:$O$205,MATCH(B47,'Bookings'!$A$6:$A$205,0)))))</x:f>
      </x:c>
      <x:c r="K47" s="13" t="str">
        <x:f>IF(A47="","",IF(F47="Alcohol-inclusive",8,IF(F47="Non-alcoholic",0,"Set pass type")))</x:f>
      </x:c>
      <x:c r="L47" s="9"/>
      <x:c r="M47" s="13" t="str">
        <x:f>IF(A47="","",IF(ISNUMBER(K47),K47-L47,"Set pass type"))</x:f>
      </x:c>
      <x:c r="N47" s="13" t="str">
        <x:f>IF(A47="","",IF(COUNTIFS($A$6:$A$205,A47)&gt;1,"Duplicate ticket ID",IF(OR(B47="",J47="Booking missing/duplicate"),"Link a unique booking",IF(OR(C47="",D47="",E47="",F47=""),"Complete guest name, Instagram, phone and pass",IF(OR(L47&lt;0,L47&gt;8,L47&lt;&gt;INT(L47),AND(ISNUMBER(K47),L47&gt;K47)),"Invalid coupon redemption",IF(AND(H47="Checked in",OR(J47&lt;&gt;"Confirmed",G47&lt;&gt;"Verified at entry",I47="")),"Check payment, age and check-in time",""))))))</x:f>
      </x:c>
    </x:row>
    <x:row r="48" ht="22" customHeight="1">
      <x:c r="A48" s="9"/>
      <x:c r="B48" s="9"/>
      <x:c r="C48" s="9"/>
      <x:c r="D48" s="9"/>
      <x:c r="E48" s="19"/>
      <x:c r="F48" s="9"/>
      <x:c r="G48" s="9"/>
      <x:c r="H48" s="9"/>
      <x:c r="I48" s="18"/>
      <x:c r="J48" s="13" t="str">
        <x:f>IF(A48="","",IF(COUNTIFS('Bookings'!$A$6:$A$205,B48)&lt;&gt;1,"Booking missing/duplicate",IF(INDEX('Bookings'!$O$6:$O$205,MATCH(B48,'Bookings'!$A$6:$A$205,0))="","Not set",INDEX('Bookings'!$O$6:$O$205,MATCH(B48,'Bookings'!$A$6:$A$205,0)))))</x:f>
      </x:c>
      <x:c r="K48" s="13" t="str">
        <x:f>IF(A48="","",IF(F48="Alcohol-inclusive",8,IF(F48="Non-alcoholic",0,"Set pass type")))</x:f>
      </x:c>
      <x:c r="L48" s="9"/>
      <x:c r="M48" s="13" t="str">
        <x:f>IF(A48="","",IF(ISNUMBER(K48),K48-L48,"Set pass type"))</x:f>
      </x:c>
      <x:c r="N48" s="13" t="str">
        <x:f>IF(A48="","",IF(COUNTIFS($A$6:$A$205,A48)&gt;1,"Duplicate ticket ID",IF(OR(B48="",J48="Booking missing/duplicate"),"Link a unique booking",IF(OR(C48="",D48="",E48="",F48=""),"Complete guest name, Instagram, phone and pass",IF(OR(L48&lt;0,L48&gt;8,L48&lt;&gt;INT(L48),AND(ISNUMBER(K48),L48&gt;K48)),"Invalid coupon redemption",IF(AND(H48="Checked in",OR(J48&lt;&gt;"Confirmed",G48&lt;&gt;"Verified at entry",I48="")),"Check payment, age and check-in time",""))))))</x:f>
      </x:c>
    </x:row>
    <x:row r="49" ht="22" customHeight="1">
      <x:c r="A49" s="9"/>
      <x:c r="B49" s="9"/>
      <x:c r="C49" s="9"/>
      <x:c r="D49" s="9"/>
      <x:c r="E49" s="19"/>
      <x:c r="F49" s="9"/>
      <x:c r="G49" s="9"/>
      <x:c r="H49" s="9"/>
      <x:c r="I49" s="18"/>
      <x:c r="J49" s="13" t="str">
        <x:f>IF(A49="","",IF(COUNTIFS('Bookings'!$A$6:$A$205,B49)&lt;&gt;1,"Booking missing/duplicate",IF(INDEX('Bookings'!$O$6:$O$205,MATCH(B49,'Bookings'!$A$6:$A$205,0))="","Not set",INDEX('Bookings'!$O$6:$O$205,MATCH(B49,'Bookings'!$A$6:$A$205,0)))))</x:f>
      </x:c>
      <x:c r="K49" s="13" t="str">
        <x:f>IF(A49="","",IF(F49="Alcohol-inclusive",8,IF(F49="Non-alcoholic",0,"Set pass type")))</x:f>
      </x:c>
      <x:c r="L49" s="9"/>
      <x:c r="M49" s="13" t="str">
        <x:f>IF(A49="","",IF(ISNUMBER(K49),K49-L49,"Set pass type"))</x:f>
      </x:c>
      <x:c r="N49" s="13" t="str">
        <x:f>IF(A49="","",IF(COUNTIFS($A$6:$A$205,A49)&gt;1,"Duplicate ticket ID",IF(OR(B49="",J49="Booking missing/duplicate"),"Link a unique booking",IF(OR(C49="",D49="",E49="",F49=""),"Complete guest name, Instagram, phone and pass",IF(OR(L49&lt;0,L49&gt;8,L49&lt;&gt;INT(L49),AND(ISNUMBER(K49),L49&gt;K49)),"Invalid coupon redemption",IF(AND(H49="Checked in",OR(J49&lt;&gt;"Confirmed",G49&lt;&gt;"Verified at entry",I49="")),"Check payment, age and check-in time",""))))))</x:f>
      </x:c>
    </x:row>
    <x:row r="50" ht="22" customHeight="1">
      <x:c r="A50" s="9"/>
      <x:c r="B50" s="9"/>
      <x:c r="C50" s="9"/>
      <x:c r="D50" s="9"/>
      <x:c r="E50" s="19"/>
      <x:c r="F50" s="9"/>
      <x:c r="G50" s="9"/>
      <x:c r="H50" s="9"/>
      <x:c r="I50" s="18"/>
      <x:c r="J50" s="13" t="str">
        <x:f>IF(A50="","",IF(COUNTIFS('Bookings'!$A$6:$A$205,B50)&lt;&gt;1,"Booking missing/duplicate",IF(INDEX('Bookings'!$O$6:$O$205,MATCH(B50,'Bookings'!$A$6:$A$205,0))="","Not set",INDEX('Bookings'!$O$6:$O$205,MATCH(B50,'Bookings'!$A$6:$A$205,0)))))</x:f>
      </x:c>
      <x:c r="K50" s="13" t="str">
        <x:f>IF(A50="","",IF(F50="Alcohol-inclusive",8,IF(F50="Non-alcoholic",0,"Set pass type")))</x:f>
      </x:c>
      <x:c r="L50" s="9"/>
      <x:c r="M50" s="13" t="str">
        <x:f>IF(A50="","",IF(ISNUMBER(K50),K50-L50,"Set pass type"))</x:f>
      </x:c>
      <x:c r="N50" s="13" t="str">
        <x:f>IF(A50="","",IF(COUNTIFS($A$6:$A$205,A50)&gt;1,"Duplicate ticket ID",IF(OR(B50="",J50="Booking missing/duplicate"),"Link a unique booking",IF(OR(C50="",D50="",E50="",F50=""),"Complete guest name, Instagram, phone and pass",IF(OR(L50&lt;0,L50&gt;8,L50&lt;&gt;INT(L50),AND(ISNUMBER(K50),L50&gt;K50)),"Invalid coupon redemption",IF(AND(H50="Checked in",OR(J50&lt;&gt;"Confirmed",G50&lt;&gt;"Verified at entry",I50="")),"Check payment, age and check-in time",""))))))</x:f>
      </x:c>
    </x:row>
    <x:row r="51" ht="22" customHeight="1">
      <x:c r="A51" s="9"/>
      <x:c r="B51" s="9"/>
      <x:c r="C51" s="9"/>
      <x:c r="D51" s="9"/>
      <x:c r="E51" s="19"/>
      <x:c r="F51" s="9"/>
      <x:c r="G51" s="9"/>
      <x:c r="H51" s="9"/>
      <x:c r="I51" s="18"/>
      <x:c r="J51" s="13" t="str">
        <x:f>IF(A51="","",IF(COUNTIFS('Bookings'!$A$6:$A$205,B51)&lt;&gt;1,"Booking missing/duplicate",IF(INDEX('Bookings'!$O$6:$O$205,MATCH(B51,'Bookings'!$A$6:$A$205,0))="","Not set",INDEX('Bookings'!$O$6:$O$205,MATCH(B51,'Bookings'!$A$6:$A$205,0)))))</x:f>
      </x:c>
      <x:c r="K51" s="13" t="str">
        <x:f>IF(A51="","",IF(F51="Alcohol-inclusive",8,IF(F51="Non-alcoholic",0,"Set pass type")))</x:f>
      </x:c>
      <x:c r="L51" s="9"/>
      <x:c r="M51" s="13" t="str">
        <x:f>IF(A51="","",IF(ISNUMBER(K51),K51-L51,"Set pass type"))</x:f>
      </x:c>
      <x:c r="N51" s="13" t="str">
        <x:f>IF(A51="","",IF(COUNTIFS($A$6:$A$205,A51)&gt;1,"Duplicate ticket ID",IF(OR(B51="",J51="Booking missing/duplicate"),"Link a unique booking",IF(OR(C51="",D51="",E51="",F51=""),"Complete guest name, Instagram, phone and pass",IF(OR(L51&lt;0,L51&gt;8,L51&lt;&gt;INT(L51),AND(ISNUMBER(K51),L51&gt;K51)),"Invalid coupon redemption",IF(AND(H51="Checked in",OR(J51&lt;&gt;"Confirmed",G51&lt;&gt;"Verified at entry",I51="")),"Check payment, age and check-in time",""))))))</x:f>
      </x:c>
    </x:row>
    <x:row r="52" ht="22" customHeight="1">
      <x:c r="A52" s="9"/>
      <x:c r="B52" s="9"/>
      <x:c r="C52" s="9"/>
      <x:c r="D52" s="9"/>
      <x:c r="E52" s="19"/>
      <x:c r="F52" s="9"/>
      <x:c r="G52" s="9"/>
      <x:c r="H52" s="9"/>
      <x:c r="I52" s="18"/>
      <x:c r="J52" s="13" t="str">
        <x:f>IF(A52="","",IF(COUNTIFS('Bookings'!$A$6:$A$205,B52)&lt;&gt;1,"Booking missing/duplicate",IF(INDEX('Bookings'!$O$6:$O$205,MATCH(B52,'Bookings'!$A$6:$A$205,0))="","Not set",INDEX('Bookings'!$O$6:$O$205,MATCH(B52,'Bookings'!$A$6:$A$205,0)))))</x:f>
      </x:c>
      <x:c r="K52" s="13" t="str">
        <x:f>IF(A52="","",IF(F52="Alcohol-inclusive",8,IF(F52="Non-alcoholic",0,"Set pass type")))</x:f>
      </x:c>
      <x:c r="L52" s="9"/>
      <x:c r="M52" s="13" t="str">
        <x:f>IF(A52="","",IF(ISNUMBER(K52),K52-L52,"Set pass type"))</x:f>
      </x:c>
      <x:c r="N52" s="13" t="str">
        <x:f>IF(A52="","",IF(COUNTIFS($A$6:$A$205,A52)&gt;1,"Duplicate ticket ID",IF(OR(B52="",J52="Booking missing/duplicate"),"Link a unique booking",IF(OR(C52="",D52="",E52="",F52=""),"Complete guest name, Instagram, phone and pass",IF(OR(L52&lt;0,L52&gt;8,L52&lt;&gt;INT(L52),AND(ISNUMBER(K52),L52&gt;K52)),"Invalid coupon redemption",IF(AND(H52="Checked in",OR(J52&lt;&gt;"Confirmed",G52&lt;&gt;"Verified at entry",I52="")),"Check payment, age and check-in time",""))))))</x:f>
      </x:c>
    </x:row>
    <x:row r="53" ht="22" customHeight="1">
      <x:c r="A53" s="9"/>
      <x:c r="B53" s="9"/>
      <x:c r="C53" s="9"/>
      <x:c r="D53" s="9"/>
      <x:c r="E53" s="19"/>
      <x:c r="F53" s="9"/>
      <x:c r="G53" s="9"/>
      <x:c r="H53" s="9"/>
      <x:c r="I53" s="18"/>
      <x:c r="J53" s="13" t="str">
        <x:f>IF(A53="","",IF(COUNTIFS('Bookings'!$A$6:$A$205,B53)&lt;&gt;1,"Booking missing/duplicate",IF(INDEX('Bookings'!$O$6:$O$205,MATCH(B53,'Bookings'!$A$6:$A$205,0))="","Not set",INDEX('Bookings'!$O$6:$O$205,MATCH(B53,'Bookings'!$A$6:$A$205,0)))))</x:f>
      </x:c>
      <x:c r="K53" s="13" t="str">
        <x:f>IF(A53="","",IF(F53="Alcohol-inclusive",8,IF(F53="Non-alcoholic",0,"Set pass type")))</x:f>
      </x:c>
      <x:c r="L53" s="9"/>
      <x:c r="M53" s="13" t="str">
        <x:f>IF(A53="","",IF(ISNUMBER(K53),K53-L53,"Set pass type"))</x:f>
      </x:c>
      <x:c r="N53" s="13" t="str">
        <x:f>IF(A53="","",IF(COUNTIFS($A$6:$A$205,A53)&gt;1,"Duplicate ticket ID",IF(OR(B53="",J53="Booking missing/duplicate"),"Link a unique booking",IF(OR(C53="",D53="",E53="",F53=""),"Complete guest name, Instagram, phone and pass",IF(OR(L53&lt;0,L53&gt;8,L53&lt;&gt;INT(L53),AND(ISNUMBER(K53),L53&gt;K53)),"Invalid coupon redemption",IF(AND(H53="Checked in",OR(J53&lt;&gt;"Confirmed",G53&lt;&gt;"Verified at entry",I53="")),"Check payment, age and check-in time",""))))))</x:f>
      </x:c>
    </x:row>
    <x:row r="54" ht="22" customHeight="1">
      <x:c r="A54" s="9"/>
      <x:c r="B54" s="9"/>
      <x:c r="C54" s="9"/>
      <x:c r="D54" s="9"/>
      <x:c r="E54" s="19"/>
      <x:c r="F54" s="9"/>
      <x:c r="G54" s="9"/>
      <x:c r="H54" s="9"/>
      <x:c r="I54" s="18"/>
      <x:c r="J54" s="13" t="str">
        <x:f>IF(A54="","",IF(COUNTIFS('Bookings'!$A$6:$A$205,B54)&lt;&gt;1,"Booking missing/duplicate",IF(INDEX('Bookings'!$O$6:$O$205,MATCH(B54,'Bookings'!$A$6:$A$205,0))="","Not set",INDEX('Bookings'!$O$6:$O$205,MATCH(B54,'Bookings'!$A$6:$A$205,0)))))</x:f>
      </x:c>
      <x:c r="K54" s="13" t="str">
        <x:f>IF(A54="","",IF(F54="Alcohol-inclusive",8,IF(F54="Non-alcoholic",0,"Set pass type")))</x:f>
      </x:c>
      <x:c r="L54" s="9"/>
      <x:c r="M54" s="13" t="str">
        <x:f>IF(A54="","",IF(ISNUMBER(K54),K54-L54,"Set pass type"))</x:f>
      </x:c>
      <x:c r="N54" s="13" t="str">
        <x:f>IF(A54="","",IF(COUNTIFS($A$6:$A$205,A54)&gt;1,"Duplicate ticket ID",IF(OR(B54="",J54="Booking missing/duplicate"),"Link a unique booking",IF(OR(C54="",D54="",E54="",F54=""),"Complete guest name, Instagram, phone and pass",IF(OR(L54&lt;0,L54&gt;8,L54&lt;&gt;INT(L54),AND(ISNUMBER(K54),L54&gt;K54)),"Invalid coupon redemption",IF(AND(H54="Checked in",OR(J54&lt;&gt;"Confirmed",G54&lt;&gt;"Verified at entry",I54="")),"Check payment, age and check-in time",""))))))</x:f>
      </x:c>
    </x:row>
    <x:row r="55" ht="22" customHeight="1">
      <x:c r="A55" s="9"/>
      <x:c r="B55" s="9"/>
      <x:c r="C55" s="9"/>
      <x:c r="D55" s="9"/>
      <x:c r="E55" s="19"/>
      <x:c r="F55" s="9"/>
      <x:c r="G55" s="9"/>
      <x:c r="H55" s="9"/>
      <x:c r="I55" s="18"/>
      <x:c r="J55" s="13" t="str">
        <x:f>IF(A55="","",IF(COUNTIFS('Bookings'!$A$6:$A$205,B55)&lt;&gt;1,"Booking missing/duplicate",IF(INDEX('Bookings'!$O$6:$O$205,MATCH(B55,'Bookings'!$A$6:$A$205,0))="","Not set",INDEX('Bookings'!$O$6:$O$205,MATCH(B55,'Bookings'!$A$6:$A$205,0)))))</x:f>
      </x:c>
      <x:c r="K55" s="13" t="str">
        <x:f>IF(A55="","",IF(F55="Alcohol-inclusive",8,IF(F55="Non-alcoholic",0,"Set pass type")))</x:f>
      </x:c>
      <x:c r="L55" s="9"/>
      <x:c r="M55" s="13" t="str">
        <x:f>IF(A55="","",IF(ISNUMBER(K55),K55-L55,"Set pass type"))</x:f>
      </x:c>
      <x:c r="N55" s="13" t="str">
        <x:f>IF(A55="","",IF(COUNTIFS($A$6:$A$205,A55)&gt;1,"Duplicate ticket ID",IF(OR(B55="",J55="Booking missing/duplicate"),"Link a unique booking",IF(OR(C55="",D55="",E55="",F55=""),"Complete guest name, Instagram, phone and pass",IF(OR(L55&lt;0,L55&gt;8,L55&lt;&gt;INT(L55),AND(ISNUMBER(K55),L55&gt;K55)),"Invalid coupon redemption",IF(AND(H55="Checked in",OR(J55&lt;&gt;"Confirmed",G55&lt;&gt;"Verified at entry",I55="")),"Check payment, age and check-in time",""))))))</x:f>
      </x:c>
    </x:row>
    <x:row r="56" ht="22" customHeight="1">
      <x:c r="A56" s="9"/>
      <x:c r="B56" s="9"/>
      <x:c r="C56" s="9"/>
      <x:c r="D56" s="9"/>
      <x:c r="E56" s="19"/>
      <x:c r="F56" s="9"/>
      <x:c r="G56" s="9"/>
      <x:c r="H56" s="9"/>
      <x:c r="I56" s="18"/>
      <x:c r="J56" s="13" t="str">
        <x:f>IF(A56="","",IF(COUNTIFS('Bookings'!$A$6:$A$205,B56)&lt;&gt;1,"Booking missing/duplicate",IF(INDEX('Bookings'!$O$6:$O$205,MATCH(B56,'Bookings'!$A$6:$A$205,0))="","Not set",INDEX('Bookings'!$O$6:$O$205,MATCH(B56,'Bookings'!$A$6:$A$205,0)))))</x:f>
      </x:c>
      <x:c r="K56" s="13" t="str">
        <x:f>IF(A56="","",IF(F56="Alcohol-inclusive",8,IF(F56="Non-alcoholic",0,"Set pass type")))</x:f>
      </x:c>
      <x:c r="L56" s="9"/>
      <x:c r="M56" s="13" t="str">
        <x:f>IF(A56="","",IF(ISNUMBER(K56),K56-L56,"Set pass type"))</x:f>
      </x:c>
      <x:c r="N56" s="13" t="str">
        <x:f>IF(A56="","",IF(COUNTIFS($A$6:$A$205,A56)&gt;1,"Duplicate ticket ID",IF(OR(B56="",J56="Booking missing/duplicate"),"Link a unique booking",IF(OR(C56="",D56="",E56="",F56=""),"Complete guest name, Instagram, phone and pass",IF(OR(L56&lt;0,L56&gt;8,L56&lt;&gt;INT(L56),AND(ISNUMBER(K56),L56&gt;K56)),"Invalid coupon redemption",IF(AND(H56="Checked in",OR(J56&lt;&gt;"Confirmed",G56&lt;&gt;"Verified at entry",I56="")),"Check payment, age and check-in time",""))))))</x:f>
      </x:c>
    </x:row>
    <x:row r="57" ht="22" customHeight="1">
      <x:c r="A57" s="9"/>
      <x:c r="B57" s="9"/>
      <x:c r="C57" s="9"/>
      <x:c r="D57" s="9"/>
      <x:c r="E57" s="19"/>
      <x:c r="F57" s="9"/>
      <x:c r="G57" s="9"/>
      <x:c r="H57" s="9"/>
      <x:c r="I57" s="18"/>
      <x:c r="J57" s="13" t="str">
        <x:f>IF(A57="","",IF(COUNTIFS('Bookings'!$A$6:$A$205,B57)&lt;&gt;1,"Booking missing/duplicate",IF(INDEX('Bookings'!$O$6:$O$205,MATCH(B57,'Bookings'!$A$6:$A$205,0))="","Not set",INDEX('Bookings'!$O$6:$O$205,MATCH(B57,'Bookings'!$A$6:$A$205,0)))))</x:f>
      </x:c>
      <x:c r="K57" s="13" t="str">
        <x:f>IF(A57="","",IF(F57="Alcohol-inclusive",8,IF(F57="Non-alcoholic",0,"Set pass type")))</x:f>
      </x:c>
      <x:c r="L57" s="9"/>
      <x:c r="M57" s="13" t="str">
        <x:f>IF(A57="","",IF(ISNUMBER(K57),K57-L57,"Set pass type"))</x:f>
      </x:c>
      <x:c r="N57" s="13" t="str">
        <x:f>IF(A57="","",IF(COUNTIFS($A$6:$A$205,A57)&gt;1,"Duplicate ticket ID",IF(OR(B57="",J57="Booking missing/duplicate"),"Link a unique booking",IF(OR(C57="",D57="",E57="",F57=""),"Complete guest name, Instagram, phone and pass",IF(OR(L57&lt;0,L57&gt;8,L57&lt;&gt;INT(L57),AND(ISNUMBER(K57),L57&gt;K57)),"Invalid coupon redemption",IF(AND(H57="Checked in",OR(J57&lt;&gt;"Confirmed",G57&lt;&gt;"Verified at entry",I57="")),"Check payment, age and check-in time",""))))))</x:f>
      </x:c>
    </x:row>
    <x:row r="58" ht="22" customHeight="1">
      <x:c r="A58" s="9"/>
      <x:c r="B58" s="9"/>
      <x:c r="C58" s="9"/>
      <x:c r="D58" s="9"/>
      <x:c r="E58" s="19"/>
      <x:c r="F58" s="9"/>
      <x:c r="G58" s="9"/>
      <x:c r="H58" s="9"/>
      <x:c r="I58" s="18"/>
      <x:c r="J58" s="13" t="str">
        <x:f>IF(A58="","",IF(COUNTIFS('Bookings'!$A$6:$A$205,B58)&lt;&gt;1,"Booking missing/duplicate",IF(INDEX('Bookings'!$O$6:$O$205,MATCH(B58,'Bookings'!$A$6:$A$205,0))="","Not set",INDEX('Bookings'!$O$6:$O$205,MATCH(B58,'Bookings'!$A$6:$A$205,0)))))</x:f>
      </x:c>
      <x:c r="K58" s="13" t="str">
        <x:f>IF(A58="","",IF(F58="Alcohol-inclusive",8,IF(F58="Non-alcoholic",0,"Set pass type")))</x:f>
      </x:c>
      <x:c r="L58" s="9"/>
      <x:c r="M58" s="13" t="str">
        <x:f>IF(A58="","",IF(ISNUMBER(K58),K58-L58,"Set pass type"))</x:f>
      </x:c>
      <x:c r="N58" s="13" t="str">
        <x:f>IF(A58="","",IF(COUNTIFS($A$6:$A$205,A58)&gt;1,"Duplicate ticket ID",IF(OR(B58="",J58="Booking missing/duplicate"),"Link a unique booking",IF(OR(C58="",D58="",E58="",F58=""),"Complete guest name, Instagram, phone and pass",IF(OR(L58&lt;0,L58&gt;8,L58&lt;&gt;INT(L58),AND(ISNUMBER(K58),L58&gt;K58)),"Invalid coupon redemption",IF(AND(H58="Checked in",OR(J58&lt;&gt;"Confirmed",G58&lt;&gt;"Verified at entry",I58="")),"Check payment, age and check-in time",""))))))</x:f>
      </x:c>
    </x:row>
    <x:row r="59" ht="22" customHeight="1">
      <x:c r="A59" s="9"/>
      <x:c r="B59" s="9"/>
      <x:c r="C59" s="9"/>
      <x:c r="D59" s="9"/>
      <x:c r="E59" s="19"/>
      <x:c r="F59" s="9"/>
      <x:c r="G59" s="9"/>
      <x:c r="H59" s="9"/>
      <x:c r="I59" s="18"/>
      <x:c r="J59" s="13" t="str">
        <x:f>IF(A59="","",IF(COUNTIFS('Bookings'!$A$6:$A$205,B59)&lt;&gt;1,"Booking missing/duplicate",IF(INDEX('Bookings'!$O$6:$O$205,MATCH(B59,'Bookings'!$A$6:$A$205,0))="","Not set",INDEX('Bookings'!$O$6:$O$205,MATCH(B59,'Bookings'!$A$6:$A$205,0)))))</x:f>
      </x:c>
      <x:c r="K59" s="13" t="str">
        <x:f>IF(A59="","",IF(F59="Alcohol-inclusive",8,IF(F59="Non-alcoholic",0,"Set pass type")))</x:f>
      </x:c>
      <x:c r="L59" s="9"/>
      <x:c r="M59" s="13" t="str">
        <x:f>IF(A59="","",IF(ISNUMBER(K59),K59-L59,"Set pass type"))</x:f>
      </x:c>
      <x:c r="N59" s="13" t="str">
        <x:f>IF(A59="","",IF(COUNTIFS($A$6:$A$205,A59)&gt;1,"Duplicate ticket ID",IF(OR(B59="",J59="Booking missing/duplicate"),"Link a unique booking",IF(OR(C59="",D59="",E59="",F59=""),"Complete guest name, Instagram, phone and pass",IF(OR(L59&lt;0,L59&gt;8,L59&lt;&gt;INT(L59),AND(ISNUMBER(K59),L59&gt;K59)),"Invalid coupon redemption",IF(AND(H59="Checked in",OR(J59&lt;&gt;"Confirmed",G59&lt;&gt;"Verified at entry",I59="")),"Check payment, age and check-in time",""))))))</x:f>
      </x:c>
    </x:row>
    <x:row r="60" ht="22" customHeight="1">
      <x:c r="A60" s="9"/>
      <x:c r="B60" s="9"/>
      <x:c r="C60" s="9"/>
      <x:c r="D60" s="9"/>
      <x:c r="E60" s="19"/>
      <x:c r="F60" s="9"/>
      <x:c r="G60" s="9"/>
      <x:c r="H60" s="9"/>
      <x:c r="I60" s="18"/>
      <x:c r="J60" s="13" t="str">
        <x:f>IF(A60="","",IF(COUNTIFS('Bookings'!$A$6:$A$205,B60)&lt;&gt;1,"Booking missing/duplicate",IF(INDEX('Bookings'!$O$6:$O$205,MATCH(B60,'Bookings'!$A$6:$A$205,0))="","Not set",INDEX('Bookings'!$O$6:$O$205,MATCH(B60,'Bookings'!$A$6:$A$205,0)))))</x:f>
      </x:c>
      <x:c r="K60" s="13" t="str">
        <x:f>IF(A60="","",IF(F60="Alcohol-inclusive",8,IF(F60="Non-alcoholic",0,"Set pass type")))</x:f>
      </x:c>
      <x:c r="L60" s="9"/>
      <x:c r="M60" s="13" t="str">
        <x:f>IF(A60="","",IF(ISNUMBER(K60),K60-L60,"Set pass type"))</x:f>
      </x:c>
      <x:c r="N60" s="13" t="str">
        <x:f>IF(A60="","",IF(COUNTIFS($A$6:$A$205,A60)&gt;1,"Duplicate ticket ID",IF(OR(B60="",J60="Booking missing/duplicate"),"Link a unique booking",IF(OR(C60="",D60="",E60="",F60=""),"Complete guest name, Instagram, phone and pass",IF(OR(L60&lt;0,L60&gt;8,L60&lt;&gt;INT(L60),AND(ISNUMBER(K60),L60&gt;K60)),"Invalid coupon redemption",IF(AND(H60="Checked in",OR(J60&lt;&gt;"Confirmed",G60&lt;&gt;"Verified at entry",I60="")),"Check payment, age and check-in time",""))))))</x:f>
      </x:c>
    </x:row>
    <x:row r="61" ht="22" customHeight="1">
      <x:c r="A61" s="9"/>
      <x:c r="B61" s="9"/>
      <x:c r="C61" s="9"/>
      <x:c r="D61" s="9"/>
      <x:c r="E61" s="19"/>
      <x:c r="F61" s="9"/>
      <x:c r="G61" s="9"/>
      <x:c r="H61" s="9"/>
      <x:c r="I61" s="18"/>
      <x:c r="J61" s="13" t="str">
        <x:f>IF(A61="","",IF(COUNTIFS('Bookings'!$A$6:$A$205,B61)&lt;&gt;1,"Booking missing/duplicate",IF(INDEX('Bookings'!$O$6:$O$205,MATCH(B61,'Bookings'!$A$6:$A$205,0))="","Not set",INDEX('Bookings'!$O$6:$O$205,MATCH(B61,'Bookings'!$A$6:$A$205,0)))))</x:f>
      </x:c>
      <x:c r="K61" s="13" t="str">
        <x:f>IF(A61="","",IF(F61="Alcohol-inclusive",8,IF(F61="Non-alcoholic",0,"Set pass type")))</x:f>
      </x:c>
      <x:c r="L61" s="9"/>
      <x:c r="M61" s="13" t="str">
        <x:f>IF(A61="","",IF(ISNUMBER(K61),K61-L61,"Set pass type"))</x:f>
      </x:c>
      <x:c r="N61" s="13" t="str">
        <x:f>IF(A61="","",IF(COUNTIFS($A$6:$A$205,A61)&gt;1,"Duplicate ticket ID",IF(OR(B61="",J61="Booking missing/duplicate"),"Link a unique booking",IF(OR(C61="",D61="",E61="",F61=""),"Complete guest name, Instagram, phone and pass",IF(OR(L61&lt;0,L61&gt;8,L61&lt;&gt;INT(L61),AND(ISNUMBER(K61),L61&gt;K61)),"Invalid coupon redemption",IF(AND(H61="Checked in",OR(J61&lt;&gt;"Confirmed",G61&lt;&gt;"Verified at entry",I61="")),"Check payment, age and check-in time",""))))))</x:f>
      </x:c>
    </x:row>
    <x:row r="62" ht="22" customHeight="1">
      <x:c r="A62" s="9"/>
      <x:c r="B62" s="9"/>
      <x:c r="C62" s="9"/>
      <x:c r="D62" s="9"/>
      <x:c r="E62" s="19"/>
      <x:c r="F62" s="9"/>
      <x:c r="G62" s="9"/>
      <x:c r="H62" s="9"/>
      <x:c r="I62" s="18"/>
      <x:c r="J62" s="13" t="str">
        <x:f>IF(A62="","",IF(COUNTIFS('Bookings'!$A$6:$A$205,B62)&lt;&gt;1,"Booking missing/duplicate",IF(INDEX('Bookings'!$O$6:$O$205,MATCH(B62,'Bookings'!$A$6:$A$205,0))="","Not set",INDEX('Bookings'!$O$6:$O$205,MATCH(B62,'Bookings'!$A$6:$A$205,0)))))</x:f>
      </x:c>
      <x:c r="K62" s="13" t="str">
        <x:f>IF(A62="","",IF(F62="Alcohol-inclusive",8,IF(F62="Non-alcoholic",0,"Set pass type")))</x:f>
      </x:c>
      <x:c r="L62" s="9"/>
      <x:c r="M62" s="13" t="str">
        <x:f>IF(A62="","",IF(ISNUMBER(K62),K62-L62,"Set pass type"))</x:f>
      </x:c>
      <x:c r="N62" s="13" t="str">
        <x:f>IF(A62="","",IF(COUNTIFS($A$6:$A$205,A62)&gt;1,"Duplicate ticket ID",IF(OR(B62="",J62="Booking missing/duplicate"),"Link a unique booking",IF(OR(C62="",D62="",E62="",F62=""),"Complete guest name, Instagram, phone and pass",IF(OR(L62&lt;0,L62&gt;8,L62&lt;&gt;INT(L62),AND(ISNUMBER(K62),L62&gt;K62)),"Invalid coupon redemption",IF(AND(H62="Checked in",OR(J62&lt;&gt;"Confirmed",G62&lt;&gt;"Verified at entry",I62="")),"Check payment, age and check-in time",""))))))</x:f>
      </x:c>
    </x:row>
    <x:row r="63" ht="22" customHeight="1">
      <x:c r="A63" s="9"/>
      <x:c r="B63" s="9"/>
      <x:c r="C63" s="9"/>
      <x:c r="D63" s="9"/>
      <x:c r="E63" s="19"/>
      <x:c r="F63" s="9"/>
      <x:c r="G63" s="9"/>
      <x:c r="H63" s="9"/>
      <x:c r="I63" s="18"/>
      <x:c r="J63" s="13" t="str">
        <x:f>IF(A63="","",IF(COUNTIFS('Bookings'!$A$6:$A$205,B63)&lt;&gt;1,"Booking missing/duplicate",IF(INDEX('Bookings'!$O$6:$O$205,MATCH(B63,'Bookings'!$A$6:$A$205,0))="","Not set",INDEX('Bookings'!$O$6:$O$205,MATCH(B63,'Bookings'!$A$6:$A$205,0)))))</x:f>
      </x:c>
      <x:c r="K63" s="13" t="str">
        <x:f>IF(A63="","",IF(F63="Alcohol-inclusive",8,IF(F63="Non-alcoholic",0,"Set pass type")))</x:f>
      </x:c>
      <x:c r="L63" s="9"/>
      <x:c r="M63" s="13" t="str">
        <x:f>IF(A63="","",IF(ISNUMBER(K63),K63-L63,"Set pass type"))</x:f>
      </x:c>
      <x:c r="N63" s="13" t="str">
        <x:f>IF(A63="","",IF(COUNTIFS($A$6:$A$205,A63)&gt;1,"Duplicate ticket ID",IF(OR(B63="",J63="Booking missing/duplicate"),"Link a unique booking",IF(OR(C63="",D63="",E63="",F63=""),"Complete guest name, Instagram, phone and pass",IF(OR(L63&lt;0,L63&gt;8,L63&lt;&gt;INT(L63),AND(ISNUMBER(K63),L63&gt;K63)),"Invalid coupon redemption",IF(AND(H63="Checked in",OR(J63&lt;&gt;"Confirmed",G63&lt;&gt;"Verified at entry",I63="")),"Check payment, age and check-in time",""))))))</x:f>
      </x:c>
    </x:row>
    <x:row r="64" ht="22" customHeight="1">
      <x:c r="A64" s="9"/>
      <x:c r="B64" s="9"/>
      <x:c r="C64" s="9"/>
      <x:c r="D64" s="9"/>
      <x:c r="E64" s="19"/>
      <x:c r="F64" s="9"/>
      <x:c r="G64" s="9"/>
      <x:c r="H64" s="9"/>
      <x:c r="I64" s="18"/>
      <x:c r="J64" s="13" t="str">
        <x:f>IF(A64="","",IF(COUNTIFS('Bookings'!$A$6:$A$205,B64)&lt;&gt;1,"Booking missing/duplicate",IF(INDEX('Bookings'!$O$6:$O$205,MATCH(B64,'Bookings'!$A$6:$A$205,0))="","Not set",INDEX('Bookings'!$O$6:$O$205,MATCH(B64,'Bookings'!$A$6:$A$205,0)))))</x:f>
      </x:c>
      <x:c r="K64" s="13" t="str">
        <x:f>IF(A64="","",IF(F64="Alcohol-inclusive",8,IF(F64="Non-alcoholic",0,"Set pass type")))</x:f>
      </x:c>
      <x:c r="L64" s="9"/>
      <x:c r="M64" s="13" t="str">
        <x:f>IF(A64="","",IF(ISNUMBER(K64),K64-L64,"Set pass type"))</x:f>
      </x:c>
      <x:c r="N64" s="13" t="str">
        <x:f>IF(A64="","",IF(COUNTIFS($A$6:$A$205,A64)&gt;1,"Duplicate ticket ID",IF(OR(B64="",J64="Booking missing/duplicate"),"Link a unique booking",IF(OR(C64="",D64="",E64="",F64=""),"Complete guest name, Instagram, phone and pass",IF(OR(L64&lt;0,L64&gt;8,L64&lt;&gt;INT(L64),AND(ISNUMBER(K64),L64&gt;K64)),"Invalid coupon redemption",IF(AND(H64="Checked in",OR(J64&lt;&gt;"Confirmed",G64&lt;&gt;"Verified at entry",I64="")),"Check payment, age and check-in time",""))))))</x:f>
      </x:c>
    </x:row>
    <x:row r="65" ht="22" customHeight="1">
      <x:c r="A65" s="9"/>
      <x:c r="B65" s="9"/>
      <x:c r="C65" s="9"/>
      <x:c r="D65" s="9"/>
      <x:c r="E65" s="19"/>
      <x:c r="F65" s="9"/>
      <x:c r="G65" s="9"/>
      <x:c r="H65" s="9"/>
      <x:c r="I65" s="18"/>
      <x:c r="J65" s="13" t="str">
        <x:f>IF(A65="","",IF(COUNTIFS('Bookings'!$A$6:$A$205,B65)&lt;&gt;1,"Booking missing/duplicate",IF(INDEX('Bookings'!$O$6:$O$205,MATCH(B65,'Bookings'!$A$6:$A$205,0))="","Not set",INDEX('Bookings'!$O$6:$O$205,MATCH(B65,'Bookings'!$A$6:$A$205,0)))))</x:f>
      </x:c>
      <x:c r="K65" s="13" t="str">
        <x:f>IF(A65="","",IF(F65="Alcohol-inclusive",8,IF(F65="Non-alcoholic",0,"Set pass type")))</x:f>
      </x:c>
      <x:c r="L65" s="9"/>
      <x:c r="M65" s="13" t="str">
        <x:f>IF(A65="","",IF(ISNUMBER(K65),K65-L65,"Set pass type"))</x:f>
      </x:c>
      <x:c r="N65" s="13" t="str">
        <x:f>IF(A65="","",IF(COUNTIFS($A$6:$A$205,A65)&gt;1,"Duplicate ticket ID",IF(OR(B65="",J65="Booking missing/duplicate"),"Link a unique booking",IF(OR(C65="",D65="",E65="",F65=""),"Complete guest name, Instagram, phone and pass",IF(OR(L65&lt;0,L65&gt;8,L65&lt;&gt;INT(L65),AND(ISNUMBER(K65),L65&gt;K65)),"Invalid coupon redemption",IF(AND(H65="Checked in",OR(J65&lt;&gt;"Confirmed",G65&lt;&gt;"Verified at entry",I65="")),"Check payment, age and check-in time",""))))))</x:f>
      </x:c>
    </x:row>
    <x:row r="66" ht="22" customHeight="1">
      <x:c r="A66" s="9"/>
      <x:c r="B66" s="9"/>
      <x:c r="C66" s="9"/>
      <x:c r="D66" s="9"/>
      <x:c r="E66" s="19"/>
      <x:c r="F66" s="9"/>
      <x:c r="G66" s="9"/>
      <x:c r="H66" s="9"/>
      <x:c r="I66" s="18"/>
      <x:c r="J66" s="13" t="str">
        <x:f>IF(A66="","",IF(COUNTIFS('Bookings'!$A$6:$A$205,B66)&lt;&gt;1,"Booking missing/duplicate",IF(INDEX('Bookings'!$O$6:$O$205,MATCH(B66,'Bookings'!$A$6:$A$205,0))="","Not set",INDEX('Bookings'!$O$6:$O$205,MATCH(B66,'Bookings'!$A$6:$A$205,0)))))</x:f>
      </x:c>
      <x:c r="K66" s="13" t="str">
        <x:f>IF(A66="","",IF(F66="Alcohol-inclusive",8,IF(F66="Non-alcoholic",0,"Set pass type")))</x:f>
      </x:c>
      <x:c r="L66" s="9"/>
      <x:c r="M66" s="13" t="str">
        <x:f>IF(A66="","",IF(ISNUMBER(K66),K66-L66,"Set pass type"))</x:f>
      </x:c>
      <x:c r="N66" s="13" t="str">
        <x:f>IF(A66="","",IF(COUNTIFS($A$6:$A$205,A66)&gt;1,"Duplicate ticket ID",IF(OR(B66="",J66="Booking missing/duplicate"),"Link a unique booking",IF(OR(C66="",D66="",E66="",F66=""),"Complete guest name, Instagram, phone and pass",IF(OR(L66&lt;0,L66&gt;8,L66&lt;&gt;INT(L66),AND(ISNUMBER(K66),L66&gt;K66)),"Invalid coupon redemption",IF(AND(H66="Checked in",OR(J66&lt;&gt;"Confirmed",G66&lt;&gt;"Verified at entry",I66="")),"Check payment, age and check-in time",""))))))</x:f>
      </x:c>
    </x:row>
    <x:row r="67" ht="22" customHeight="1">
      <x:c r="A67" s="9"/>
      <x:c r="B67" s="9"/>
      <x:c r="C67" s="9"/>
      <x:c r="D67" s="9"/>
      <x:c r="E67" s="19"/>
      <x:c r="F67" s="9"/>
      <x:c r="G67" s="9"/>
      <x:c r="H67" s="9"/>
      <x:c r="I67" s="18"/>
      <x:c r="J67" s="13" t="str">
        <x:f>IF(A67="","",IF(COUNTIFS('Bookings'!$A$6:$A$205,B67)&lt;&gt;1,"Booking missing/duplicate",IF(INDEX('Bookings'!$O$6:$O$205,MATCH(B67,'Bookings'!$A$6:$A$205,0))="","Not set",INDEX('Bookings'!$O$6:$O$205,MATCH(B67,'Bookings'!$A$6:$A$205,0)))))</x:f>
      </x:c>
      <x:c r="K67" s="13" t="str">
        <x:f>IF(A67="","",IF(F67="Alcohol-inclusive",8,IF(F67="Non-alcoholic",0,"Set pass type")))</x:f>
      </x:c>
      <x:c r="L67" s="9"/>
      <x:c r="M67" s="13" t="str">
        <x:f>IF(A67="","",IF(ISNUMBER(K67),K67-L67,"Set pass type"))</x:f>
      </x:c>
      <x:c r="N67" s="13" t="str">
        <x:f>IF(A67="","",IF(COUNTIFS($A$6:$A$205,A67)&gt;1,"Duplicate ticket ID",IF(OR(B67="",J67="Booking missing/duplicate"),"Link a unique booking",IF(OR(C67="",D67="",E67="",F67=""),"Complete guest name, Instagram, phone and pass",IF(OR(L67&lt;0,L67&gt;8,L67&lt;&gt;INT(L67),AND(ISNUMBER(K67),L67&gt;K67)),"Invalid coupon redemption",IF(AND(H67="Checked in",OR(J67&lt;&gt;"Confirmed",G67&lt;&gt;"Verified at entry",I67="")),"Check payment, age and check-in time",""))))))</x:f>
      </x:c>
    </x:row>
    <x:row r="68" ht="22" customHeight="1">
      <x:c r="A68" s="9"/>
      <x:c r="B68" s="9"/>
      <x:c r="C68" s="9"/>
      <x:c r="D68" s="9"/>
      <x:c r="E68" s="19"/>
      <x:c r="F68" s="9"/>
      <x:c r="G68" s="9"/>
      <x:c r="H68" s="9"/>
      <x:c r="I68" s="18"/>
      <x:c r="J68" s="13" t="str">
        <x:f>IF(A68="","",IF(COUNTIFS('Bookings'!$A$6:$A$205,B68)&lt;&gt;1,"Booking missing/duplicate",IF(INDEX('Bookings'!$O$6:$O$205,MATCH(B68,'Bookings'!$A$6:$A$205,0))="","Not set",INDEX('Bookings'!$O$6:$O$205,MATCH(B68,'Bookings'!$A$6:$A$205,0)))))</x:f>
      </x:c>
      <x:c r="K68" s="13" t="str">
        <x:f>IF(A68="","",IF(F68="Alcohol-inclusive",8,IF(F68="Non-alcoholic",0,"Set pass type")))</x:f>
      </x:c>
      <x:c r="L68" s="9"/>
      <x:c r="M68" s="13" t="str">
        <x:f>IF(A68="","",IF(ISNUMBER(K68),K68-L68,"Set pass type"))</x:f>
      </x:c>
      <x:c r="N68" s="13" t="str">
        <x:f>IF(A68="","",IF(COUNTIFS($A$6:$A$205,A68)&gt;1,"Duplicate ticket ID",IF(OR(B68="",J68="Booking missing/duplicate"),"Link a unique booking",IF(OR(C68="",D68="",E68="",F68=""),"Complete guest name, Instagram, phone and pass",IF(OR(L68&lt;0,L68&gt;8,L68&lt;&gt;INT(L68),AND(ISNUMBER(K68),L68&gt;K68)),"Invalid coupon redemption",IF(AND(H68="Checked in",OR(J68&lt;&gt;"Confirmed",G68&lt;&gt;"Verified at entry",I68="")),"Check payment, age and check-in time",""))))))</x:f>
      </x:c>
    </x:row>
    <x:row r="69" ht="22" customHeight="1">
      <x:c r="A69" s="9"/>
      <x:c r="B69" s="9"/>
      <x:c r="C69" s="9"/>
      <x:c r="D69" s="9"/>
      <x:c r="E69" s="19"/>
      <x:c r="F69" s="9"/>
      <x:c r="G69" s="9"/>
      <x:c r="H69" s="9"/>
      <x:c r="I69" s="18"/>
      <x:c r="J69" s="13" t="str">
        <x:f>IF(A69="","",IF(COUNTIFS('Bookings'!$A$6:$A$205,B69)&lt;&gt;1,"Booking missing/duplicate",IF(INDEX('Bookings'!$O$6:$O$205,MATCH(B69,'Bookings'!$A$6:$A$205,0))="","Not set",INDEX('Bookings'!$O$6:$O$205,MATCH(B69,'Bookings'!$A$6:$A$205,0)))))</x:f>
      </x:c>
      <x:c r="K69" s="13" t="str">
        <x:f>IF(A69="","",IF(F69="Alcohol-inclusive",8,IF(F69="Non-alcoholic",0,"Set pass type")))</x:f>
      </x:c>
      <x:c r="L69" s="9"/>
      <x:c r="M69" s="13" t="str">
        <x:f>IF(A69="","",IF(ISNUMBER(K69),K69-L69,"Set pass type"))</x:f>
      </x:c>
      <x:c r="N69" s="13" t="str">
        <x:f>IF(A69="","",IF(COUNTIFS($A$6:$A$205,A69)&gt;1,"Duplicate ticket ID",IF(OR(B69="",J69="Booking missing/duplicate"),"Link a unique booking",IF(OR(C69="",D69="",E69="",F69=""),"Complete guest name, Instagram, phone and pass",IF(OR(L69&lt;0,L69&gt;8,L69&lt;&gt;INT(L69),AND(ISNUMBER(K69),L69&gt;K69)),"Invalid coupon redemption",IF(AND(H69="Checked in",OR(J69&lt;&gt;"Confirmed",G69&lt;&gt;"Verified at entry",I69="")),"Check payment, age and check-in time",""))))))</x:f>
      </x:c>
    </x:row>
    <x:row r="70" ht="22" customHeight="1">
      <x:c r="A70" s="9"/>
      <x:c r="B70" s="9"/>
      <x:c r="C70" s="9"/>
      <x:c r="D70" s="9"/>
      <x:c r="E70" s="19"/>
      <x:c r="F70" s="9"/>
      <x:c r="G70" s="9"/>
      <x:c r="H70" s="9"/>
      <x:c r="I70" s="18"/>
      <x:c r="J70" s="13" t="str">
        <x:f>IF(A70="","",IF(COUNTIFS('Bookings'!$A$6:$A$205,B70)&lt;&gt;1,"Booking missing/duplicate",IF(INDEX('Bookings'!$O$6:$O$205,MATCH(B70,'Bookings'!$A$6:$A$205,0))="","Not set",INDEX('Bookings'!$O$6:$O$205,MATCH(B70,'Bookings'!$A$6:$A$205,0)))))</x:f>
      </x:c>
      <x:c r="K70" s="13" t="str">
        <x:f>IF(A70="","",IF(F70="Alcohol-inclusive",8,IF(F70="Non-alcoholic",0,"Set pass type")))</x:f>
      </x:c>
      <x:c r="L70" s="9"/>
      <x:c r="M70" s="13" t="str">
        <x:f>IF(A70="","",IF(ISNUMBER(K70),K70-L70,"Set pass type"))</x:f>
      </x:c>
      <x:c r="N70" s="13" t="str">
        <x:f>IF(A70="","",IF(COUNTIFS($A$6:$A$205,A70)&gt;1,"Duplicate ticket ID",IF(OR(B70="",J70="Booking missing/duplicate"),"Link a unique booking",IF(OR(C70="",D70="",E70="",F70=""),"Complete guest name, Instagram, phone and pass",IF(OR(L70&lt;0,L70&gt;8,L70&lt;&gt;INT(L70),AND(ISNUMBER(K70),L70&gt;K70)),"Invalid coupon redemption",IF(AND(H70="Checked in",OR(J70&lt;&gt;"Confirmed",G70&lt;&gt;"Verified at entry",I70="")),"Check payment, age and check-in time",""))))))</x:f>
      </x:c>
    </x:row>
    <x:row r="71" ht="22" customHeight="1">
      <x:c r="A71" s="9"/>
      <x:c r="B71" s="9"/>
      <x:c r="C71" s="9"/>
      <x:c r="D71" s="9"/>
      <x:c r="E71" s="19"/>
      <x:c r="F71" s="9"/>
      <x:c r="G71" s="9"/>
      <x:c r="H71" s="9"/>
      <x:c r="I71" s="18"/>
      <x:c r="J71" s="13" t="str">
        <x:f>IF(A71="","",IF(COUNTIFS('Bookings'!$A$6:$A$205,B71)&lt;&gt;1,"Booking missing/duplicate",IF(INDEX('Bookings'!$O$6:$O$205,MATCH(B71,'Bookings'!$A$6:$A$205,0))="","Not set",INDEX('Bookings'!$O$6:$O$205,MATCH(B71,'Bookings'!$A$6:$A$205,0)))))</x:f>
      </x:c>
      <x:c r="K71" s="13" t="str">
        <x:f>IF(A71="","",IF(F71="Alcohol-inclusive",8,IF(F71="Non-alcoholic",0,"Set pass type")))</x:f>
      </x:c>
      <x:c r="L71" s="9"/>
      <x:c r="M71" s="13" t="str">
        <x:f>IF(A71="","",IF(ISNUMBER(K71),K71-L71,"Set pass type"))</x:f>
      </x:c>
      <x:c r="N71" s="13" t="str">
        <x:f>IF(A71="","",IF(COUNTIFS($A$6:$A$205,A71)&gt;1,"Duplicate ticket ID",IF(OR(B71="",J71="Booking missing/duplicate"),"Link a unique booking",IF(OR(C71="",D71="",E71="",F71=""),"Complete guest name, Instagram, phone and pass",IF(OR(L71&lt;0,L71&gt;8,L71&lt;&gt;INT(L71),AND(ISNUMBER(K71),L71&gt;K71)),"Invalid coupon redemption",IF(AND(H71="Checked in",OR(J71&lt;&gt;"Confirmed",G71&lt;&gt;"Verified at entry",I71="")),"Check payment, age and check-in time",""))))))</x:f>
      </x:c>
    </x:row>
    <x:row r="72" ht="22" customHeight="1">
      <x:c r="A72" s="9"/>
      <x:c r="B72" s="9"/>
      <x:c r="C72" s="9"/>
      <x:c r="D72" s="9"/>
      <x:c r="E72" s="19"/>
      <x:c r="F72" s="9"/>
      <x:c r="G72" s="9"/>
      <x:c r="H72" s="9"/>
      <x:c r="I72" s="18"/>
      <x:c r="J72" s="13" t="str">
        <x:f>IF(A72="","",IF(COUNTIFS('Bookings'!$A$6:$A$205,B72)&lt;&gt;1,"Booking missing/duplicate",IF(INDEX('Bookings'!$O$6:$O$205,MATCH(B72,'Bookings'!$A$6:$A$205,0))="","Not set",INDEX('Bookings'!$O$6:$O$205,MATCH(B72,'Bookings'!$A$6:$A$205,0)))))</x:f>
      </x:c>
      <x:c r="K72" s="13" t="str">
        <x:f>IF(A72="","",IF(F72="Alcohol-inclusive",8,IF(F72="Non-alcoholic",0,"Set pass type")))</x:f>
      </x:c>
      <x:c r="L72" s="9"/>
      <x:c r="M72" s="13" t="str">
        <x:f>IF(A72="","",IF(ISNUMBER(K72),K72-L72,"Set pass type"))</x:f>
      </x:c>
      <x:c r="N72" s="13" t="str">
        <x:f>IF(A72="","",IF(COUNTIFS($A$6:$A$205,A72)&gt;1,"Duplicate ticket ID",IF(OR(B72="",J72="Booking missing/duplicate"),"Link a unique booking",IF(OR(C72="",D72="",E72="",F72=""),"Complete guest name, Instagram, phone and pass",IF(OR(L72&lt;0,L72&gt;8,L72&lt;&gt;INT(L72),AND(ISNUMBER(K72),L72&gt;K72)),"Invalid coupon redemption",IF(AND(H72="Checked in",OR(J72&lt;&gt;"Confirmed",G72&lt;&gt;"Verified at entry",I72="")),"Check payment, age and check-in time",""))))))</x:f>
      </x:c>
    </x:row>
    <x:row r="73" ht="22" customHeight="1">
      <x:c r="A73" s="9"/>
      <x:c r="B73" s="9"/>
      <x:c r="C73" s="9"/>
      <x:c r="D73" s="9"/>
      <x:c r="E73" s="19"/>
      <x:c r="F73" s="9"/>
      <x:c r="G73" s="9"/>
      <x:c r="H73" s="9"/>
      <x:c r="I73" s="18"/>
      <x:c r="J73" s="13" t="str">
        <x:f>IF(A73="","",IF(COUNTIFS('Bookings'!$A$6:$A$205,B73)&lt;&gt;1,"Booking missing/duplicate",IF(INDEX('Bookings'!$O$6:$O$205,MATCH(B73,'Bookings'!$A$6:$A$205,0))="","Not set",INDEX('Bookings'!$O$6:$O$205,MATCH(B73,'Bookings'!$A$6:$A$205,0)))))</x:f>
      </x:c>
      <x:c r="K73" s="13" t="str">
        <x:f>IF(A73="","",IF(F73="Alcohol-inclusive",8,IF(F73="Non-alcoholic",0,"Set pass type")))</x:f>
      </x:c>
      <x:c r="L73" s="9"/>
      <x:c r="M73" s="13" t="str">
        <x:f>IF(A73="","",IF(ISNUMBER(K73),K73-L73,"Set pass type"))</x:f>
      </x:c>
      <x:c r="N73" s="13" t="str">
        <x:f>IF(A73="","",IF(COUNTIFS($A$6:$A$205,A73)&gt;1,"Duplicate ticket ID",IF(OR(B73="",J73="Booking missing/duplicate"),"Link a unique booking",IF(OR(C73="",D73="",E73="",F73=""),"Complete guest name, Instagram, phone and pass",IF(OR(L73&lt;0,L73&gt;8,L73&lt;&gt;INT(L73),AND(ISNUMBER(K73),L73&gt;K73)),"Invalid coupon redemption",IF(AND(H73="Checked in",OR(J73&lt;&gt;"Confirmed",G73&lt;&gt;"Verified at entry",I73="")),"Check payment, age and check-in time",""))))))</x:f>
      </x:c>
    </x:row>
    <x:row r="74" ht="22" customHeight="1">
      <x:c r="A74" s="9"/>
      <x:c r="B74" s="9"/>
      <x:c r="C74" s="9"/>
      <x:c r="D74" s="9"/>
      <x:c r="E74" s="19"/>
      <x:c r="F74" s="9"/>
      <x:c r="G74" s="9"/>
      <x:c r="H74" s="9"/>
      <x:c r="I74" s="18"/>
      <x:c r="J74" s="13" t="str">
        <x:f>IF(A74="","",IF(COUNTIFS('Bookings'!$A$6:$A$205,B74)&lt;&gt;1,"Booking missing/duplicate",IF(INDEX('Bookings'!$O$6:$O$205,MATCH(B74,'Bookings'!$A$6:$A$205,0))="","Not set",INDEX('Bookings'!$O$6:$O$205,MATCH(B74,'Bookings'!$A$6:$A$205,0)))))</x:f>
      </x:c>
      <x:c r="K74" s="13" t="str">
        <x:f>IF(A74="","",IF(F74="Alcohol-inclusive",8,IF(F74="Non-alcoholic",0,"Set pass type")))</x:f>
      </x:c>
      <x:c r="L74" s="9"/>
      <x:c r="M74" s="13" t="str">
        <x:f>IF(A74="","",IF(ISNUMBER(K74),K74-L74,"Set pass type"))</x:f>
      </x:c>
      <x:c r="N74" s="13" t="str">
        <x:f>IF(A74="","",IF(COUNTIFS($A$6:$A$205,A74)&gt;1,"Duplicate ticket ID",IF(OR(B74="",J74="Booking missing/duplicate"),"Link a unique booking",IF(OR(C74="",D74="",E74="",F74=""),"Complete guest name, Instagram, phone and pass",IF(OR(L74&lt;0,L74&gt;8,L74&lt;&gt;INT(L74),AND(ISNUMBER(K74),L74&gt;K74)),"Invalid coupon redemption",IF(AND(H74="Checked in",OR(J74&lt;&gt;"Confirmed",G74&lt;&gt;"Verified at entry",I74="")),"Check payment, age and check-in time",""))))))</x:f>
      </x:c>
    </x:row>
    <x:row r="75" ht="22" customHeight="1">
      <x:c r="A75" s="9"/>
      <x:c r="B75" s="9"/>
      <x:c r="C75" s="9"/>
      <x:c r="D75" s="9"/>
      <x:c r="E75" s="19"/>
      <x:c r="F75" s="9"/>
      <x:c r="G75" s="9"/>
      <x:c r="H75" s="9"/>
      <x:c r="I75" s="18"/>
      <x:c r="J75" s="13" t="str">
        <x:f>IF(A75="","",IF(COUNTIFS('Bookings'!$A$6:$A$205,B75)&lt;&gt;1,"Booking missing/duplicate",IF(INDEX('Bookings'!$O$6:$O$205,MATCH(B75,'Bookings'!$A$6:$A$205,0))="","Not set",INDEX('Bookings'!$O$6:$O$205,MATCH(B75,'Bookings'!$A$6:$A$205,0)))))</x:f>
      </x:c>
      <x:c r="K75" s="13" t="str">
        <x:f>IF(A75="","",IF(F75="Alcohol-inclusive",8,IF(F75="Non-alcoholic",0,"Set pass type")))</x:f>
      </x:c>
      <x:c r="L75" s="9"/>
      <x:c r="M75" s="13" t="str">
        <x:f>IF(A75="","",IF(ISNUMBER(K75),K75-L75,"Set pass type"))</x:f>
      </x:c>
      <x:c r="N75" s="13" t="str">
        <x:f>IF(A75="","",IF(COUNTIFS($A$6:$A$205,A75)&gt;1,"Duplicate ticket ID",IF(OR(B75="",J75="Booking missing/duplicate"),"Link a unique booking",IF(OR(C75="",D75="",E75="",F75=""),"Complete guest name, Instagram, phone and pass",IF(OR(L75&lt;0,L75&gt;8,L75&lt;&gt;INT(L75),AND(ISNUMBER(K75),L75&gt;K75)),"Invalid coupon redemption",IF(AND(H75="Checked in",OR(J75&lt;&gt;"Confirmed",G75&lt;&gt;"Verified at entry",I75="")),"Check payment, age and check-in time",""))))))</x:f>
      </x:c>
    </x:row>
    <x:row r="76" ht="22" customHeight="1">
      <x:c r="A76" s="9"/>
      <x:c r="B76" s="9"/>
      <x:c r="C76" s="9"/>
      <x:c r="D76" s="9"/>
      <x:c r="E76" s="19"/>
      <x:c r="F76" s="9"/>
      <x:c r="G76" s="9"/>
      <x:c r="H76" s="9"/>
      <x:c r="I76" s="18"/>
      <x:c r="J76" s="13" t="str">
        <x:f>IF(A76="","",IF(COUNTIFS('Bookings'!$A$6:$A$205,B76)&lt;&gt;1,"Booking missing/duplicate",IF(INDEX('Bookings'!$O$6:$O$205,MATCH(B76,'Bookings'!$A$6:$A$205,0))="","Not set",INDEX('Bookings'!$O$6:$O$205,MATCH(B76,'Bookings'!$A$6:$A$205,0)))))</x:f>
      </x:c>
      <x:c r="K76" s="13" t="str">
        <x:f>IF(A76="","",IF(F76="Alcohol-inclusive",8,IF(F76="Non-alcoholic",0,"Set pass type")))</x:f>
      </x:c>
      <x:c r="L76" s="9"/>
      <x:c r="M76" s="13" t="str">
        <x:f>IF(A76="","",IF(ISNUMBER(K76),K76-L76,"Set pass type"))</x:f>
      </x:c>
      <x:c r="N76" s="13" t="str">
        <x:f>IF(A76="","",IF(COUNTIFS($A$6:$A$205,A76)&gt;1,"Duplicate ticket ID",IF(OR(B76="",J76="Booking missing/duplicate"),"Link a unique booking",IF(OR(C76="",D76="",E76="",F76=""),"Complete guest name, Instagram, phone and pass",IF(OR(L76&lt;0,L76&gt;8,L76&lt;&gt;INT(L76),AND(ISNUMBER(K76),L76&gt;K76)),"Invalid coupon redemption",IF(AND(H76="Checked in",OR(J76&lt;&gt;"Confirmed",G76&lt;&gt;"Verified at entry",I76="")),"Check payment, age and check-in time",""))))))</x:f>
      </x:c>
    </x:row>
    <x:row r="77" ht="22" customHeight="1">
      <x:c r="A77" s="9"/>
      <x:c r="B77" s="9"/>
      <x:c r="C77" s="9"/>
      <x:c r="D77" s="9"/>
      <x:c r="E77" s="19"/>
      <x:c r="F77" s="9"/>
      <x:c r="G77" s="9"/>
      <x:c r="H77" s="9"/>
      <x:c r="I77" s="18"/>
      <x:c r="J77" s="13" t="str">
        <x:f>IF(A77="","",IF(COUNTIFS('Bookings'!$A$6:$A$205,B77)&lt;&gt;1,"Booking missing/duplicate",IF(INDEX('Bookings'!$O$6:$O$205,MATCH(B77,'Bookings'!$A$6:$A$205,0))="","Not set",INDEX('Bookings'!$O$6:$O$205,MATCH(B77,'Bookings'!$A$6:$A$205,0)))))</x:f>
      </x:c>
      <x:c r="K77" s="13" t="str">
        <x:f>IF(A77="","",IF(F77="Alcohol-inclusive",8,IF(F77="Non-alcoholic",0,"Set pass type")))</x:f>
      </x:c>
      <x:c r="L77" s="9"/>
      <x:c r="M77" s="13" t="str">
        <x:f>IF(A77="","",IF(ISNUMBER(K77),K77-L77,"Set pass type"))</x:f>
      </x:c>
      <x:c r="N77" s="13" t="str">
        <x:f>IF(A77="","",IF(COUNTIFS($A$6:$A$205,A77)&gt;1,"Duplicate ticket ID",IF(OR(B77="",J77="Booking missing/duplicate"),"Link a unique booking",IF(OR(C77="",D77="",E77="",F77=""),"Complete guest name, Instagram, phone and pass",IF(OR(L77&lt;0,L77&gt;8,L77&lt;&gt;INT(L77),AND(ISNUMBER(K77),L77&gt;K77)),"Invalid coupon redemption",IF(AND(H77="Checked in",OR(J77&lt;&gt;"Confirmed",G77&lt;&gt;"Verified at entry",I77="")),"Check payment, age and check-in time",""))))))</x:f>
      </x:c>
    </x:row>
    <x:row r="78" ht="22" customHeight="1">
      <x:c r="A78" s="9"/>
      <x:c r="B78" s="9"/>
      <x:c r="C78" s="9"/>
      <x:c r="D78" s="9"/>
      <x:c r="E78" s="19"/>
      <x:c r="F78" s="9"/>
      <x:c r="G78" s="9"/>
      <x:c r="H78" s="9"/>
      <x:c r="I78" s="18"/>
      <x:c r="J78" s="13" t="str">
        <x:f>IF(A78="","",IF(COUNTIFS('Bookings'!$A$6:$A$205,B78)&lt;&gt;1,"Booking missing/duplicate",IF(INDEX('Bookings'!$O$6:$O$205,MATCH(B78,'Bookings'!$A$6:$A$205,0))="","Not set",INDEX('Bookings'!$O$6:$O$205,MATCH(B78,'Bookings'!$A$6:$A$205,0)))))</x:f>
      </x:c>
      <x:c r="K78" s="13" t="str">
        <x:f>IF(A78="","",IF(F78="Alcohol-inclusive",8,IF(F78="Non-alcoholic",0,"Set pass type")))</x:f>
      </x:c>
      <x:c r="L78" s="9"/>
      <x:c r="M78" s="13" t="str">
        <x:f>IF(A78="","",IF(ISNUMBER(K78),K78-L78,"Set pass type"))</x:f>
      </x:c>
      <x:c r="N78" s="13" t="str">
        <x:f>IF(A78="","",IF(COUNTIFS($A$6:$A$205,A78)&gt;1,"Duplicate ticket ID",IF(OR(B78="",J78="Booking missing/duplicate"),"Link a unique booking",IF(OR(C78="",D78="",E78="",F78=""),"Complete guest name, Instagram, phone and pass",IF(OR(L78&lt;0,L78&gt;8,L78&lt;&gt;INT(L78),AND(ISNUMBER(K78),L78&gt;K78)),"Invalid coupon redemption",IF(AND(H78="Checked in",OR(J78&lt;&gt;"Confirmed",G78&lt;&gt;"Verified at entry",I78="")),"Check payment, age and check-in time",""))))))</x:f>
      </x:c>
    </x:row>
    <x:row r="79" ht="22" customHeight="1">
      <x:c r="A79" s="9"/>
      <x:c r="B79" s="9"/>
      <x:c r="C79" s="9"/>
      <x:c r="D79" s="9"/>
      <x:c r="E79" s="19"/>
      <x:c r="F79" s="9"/>
      <x:c r="G79" s="9"/>
      <x:c r="H79" s="9"/>
      <x:c r="I79" s="18"/>
      <x:c r="J79" s="13" t="str">
        <x:f>IF(A79="","",IF(COUNTIFS('Bookings'!$A$6:$A$205,B79)&lt;&gt;1,"Booking missing/duplicate",IF(INDEX('Bookings'!$O$6:$O$205,MATCH(B79,'Bookings'!$A$6:$A$205,0))="","Not set",INDEX('Bookings'!$O$6:$O$205,MATCH(B79,'Bookings'!$A$6:$A$205,0)))))</x:f>
      </x:c>
      <x:c r="K79" s="13" t="str">
        <x:f>IF(A79="","",IF(F79="Alcohol-inclusive",8,IF(F79="Non-alcoholic",0,"Set pass type")))</x:f>
      </x:c>
      <x:c r="L79" s="9"/>
      <x:c r="M79" s="13" t="str">
        <x:f>IF(A79="","",IF(ISNUMBER(K79),K79-L79,"Set pass type"))</x:f>
      </x:c>
      <x:c r="N79" s="13" t="str">
        <x:f>IF(A79="","",IF(COUNTIFS($A$6:$A$205,A79)&gt;1,"Duplicate ticket ID",IF(OR(B79="",J79="Booking missing/duplicate"),"Link a unique booking",IF(OR(C79="",D79="",E79="",F79=""),"Complete guest name, Instagram, phone and pass",IF(OR(L79&lt;0,L79&gt;8,L79&lt;&gt;INT(L79),AND(ISNUMBER(K79),L79&gt;K79)),"Invalid coupon redemption",IF(AND(H79="Checked in",OR(J79&lt;&gt;"Confirmed",G79&lt;&gt;"Verified at entry",I79="")),"Check payment, age and check-in time",""))))))</x:f>
      </x:c>
    </x:row>
    <x:row r="80" ht="22" customHeight="1">
      <x:c r="A80" s="9"/>
      <x:c r="B80" s="9"/>
      <x:c r="C80" s="9"/>
      <x:c r="D80" s="9"/>
      <x:c r="E80" s="19"/>
      <x:c r="F80" s="9"/>
      <x:c r="G80" s="9"/>
      <x:c r="H80" s="9"/>
      <x:c r="I80" s="18"/>
      <x:c r="J80" s="13" t="str">
        <x:f>IF(A80="","",IF(COUNTIFS('Bookings'!$A$6:$A$205,B80)&lt;&gt;1,"Booking missing/duplicate",IF(INDEX('Bookings'!$O$6:$O$205,MATCH(B80,'Bookings'!$A$6:$A$205,0))="","Not set",INDEX('Bookings'!$O$6:$O$205,MATCH(B80,'Bookings'!$A$6:$A$205,0)))))</x:f>
      </x:c>
      <x:c r="K80" s="13" t="str">
        <x:f>IF(A80="","",IF(F80="Alcohol-inclusive",8,IF(F80="Non-alcoholic",0,"Set pass type")))</x:f>
      </x:c>
      <x:c r="L80" s="9"/>
      <x:c r="M80" s="13" t="str">
        <x:f>IF(A80="","",IF(ISNUMBER(K80),K80-L80,"Set pass type"))</x:f>
      </x:c>
      <x:c r="N80" s="13" t="str">
        <x:f>IF(A80="","",IF(COUNTIFS($A$6:$A$205,A80)&gt;1,"Duplicate ticket ID",IF(OR(B80="",J80="Booking missing/duplicate"),"Link a unique booking",IF(OR(C80="",D80="",E80="",F80=""),"Complete guest name, Instagram, phone and pass",IF(OR(L80&lt;0,L80&gt;8,L80&lt;&gt;INT(L80),AND(ISNUMBER(K80),L80&gt;K80)),"Invalid coupon redemption",IF(AND(H80="Checked in",OR(J80&lt;&gt;"Confirmed",G80&lt;&gt;"Verified at entry",I80="")),"Check payment, age and check-in time",""))))))</x:f>
      </x:c>
    </x:row>
    <x:row r="81" ht="22" customHeight="1">
      <x:c r="A81" s="9"/>
      <x:c r="B81" s="9"/>
      <x:c r="C81" s="9"/>
      <x:c r="D81" s="9"/>
      <x:c r="E81" s="19"/>
      <x:c r="F81" s="9"/>
      <x:c r="G81" s="9"/>
      <x:c r="H81" s="9"/>
      <x:c r="I81" s="18"/>
      <x:c r="J81" s="13" t="str">
        <x:f>IF(A81="","",IF(COUNTIFS('Bookings'!$A$6:$A$205,B81)&lt;&gt;1,"Booking missing/duplicate",IF(INDEX('Bookings'!$O$6:$O$205,MATCH(B81,'Bookings'!$A$6:$A$205,0))="","Not set",INDEX('Bookings'!$O$6:$O$205,MATCH(B81,'Bookings'!$A$6:$A$205,0)))))</x:f>
      </x:c>
      <x:c r="K81" s="13" t="str">
        <x:f>IF(A81="","",IF(F81="Alcohol-inclusive",8,IF(F81="Non-alcoholic",0,"Set pass type")))</x:f>
      </x:c>
      <x:c r="L81" s="9"/>
      <x:c r="M81" s="13" t="str">
        <x:f>IF(A81="","",IF(ISNUMBER(K81),K81-L81,"Set pass type"))</x:f>
      </x:c>
      <x:c r="N81" s="13" t="str">
        <x:f>IF(A81="","",IF(COUNTIFS($A$6:$A$205,A81)&gt;1,"Duplicate ticket ID",IF(OR(B81="",J81="Booking missing/duplicate"),"Link a unique booking",IF(OR(C81="",D81="",E81="",F81=""),"Complete guest name, Instagram, phone and pass",IF(OR(L81&lt;0,L81&gt;8,L81&lt;&gt;INT(L81),AND(ISNUMBER(K81),L81&gt;K81)),"Invalid coupon redemption",IF(AND(H81="Checked in",OR(J81&lt;&gt;"Confirmed",G81&lt;&gt;"Verified at entry",I81="")),"Check payment, age and check-in time",""))))))</x:f>
      </x:c>
    </x:row>
    <x:row r="82" ht="22" customHeight="1">
      <x:c r="A82" s="9"/>
      <x:c r="B82" s="9"/>
      <x:c r="C82" s="9"/>
      <x:c r="D82" s="9"/>
      <x:c r="E82" s="19"/>
      <x:c r="F82" s="9"/>
      <x:c r="G82" s="9"/>
      <x:c r="H82" s="9"/>
      <x:c r="I82" s="18"/>
      <x:c r="J82" s="13" t="str">
        <x:f>IF(A82="","",IF(COUNTIFS('Bookings'!$A$6:$A$205,B82)&lt;&gt;1,"Booking missing/duplicate",IF(INDEX('Bookings'!$O$6:$O$205,MATCH(B82,'Bookings'!$A$6:$A$205,0))="","Not set",INDEX('Bookings'!$O$6:$O$205,MATCH(B82,'Bookings'!$A$6:$A$205,0)))))</x:f>
      </x:c>
      <x:c r="K82" s="13" t="str">
        <x:f>IF(A82="","",IF(F82="Alcohol-inclusive",8,IF(F82="Non-alcoholic",0,"Set pass type")))</x:f>
      </x:c>
      <x:c r="L82" s="9"/>
      <x:c r="M82" s="13" t="str">
        <x:f>IF(A82="","",IF(ISNUMBER(K82),K82-L82,"Set pass type"))</x:f>
      </x:c>
      <x:c r="N82" s="13" t="str">
        <x:f>IF(A82="","",IF(COUNTIFS($A$6:$A$205,A82)&gt;1,"Duplicate ticket ID",IF(OR(B82="",J82="Booking missing/duplicate"),"Link a unique booking",IF(OR(C82="",D82="",E82="",F82=""),"Complete guest name, Instagram, phone and pass",IF(OR(L82&lt;0,L82&gt;8,L82&lt;&gt;INT(L82),AND(ISNUMBER(K82),L82&gt;K82)),"Invalid coupon redemption",IF(AND(H82="Checked in",OR(J82&lt;&gt;"Confirmed",G82&lt;&gt;"Verified at entry",I82="")),"Check payment, age and check-in time",""))))))</x:f>
      </x:c>
    </x:row>
    <x:row r="83" ht="22" customHeight="1">
      <x:c r="A83" s="9"/>
      <x:c r="B83" s="9"/>
      <x:c r="C83" s="9"/>
      <x:c r="D83" s="9"/>
      <x:c r="E83" s="19"/>
      <x:c r="F83" s="9"/>
      <x:c r="G83" s="9"/>
      <x:c r="H83" s="9"/>
      <x:c r="I83" s="18"/>
      <x:c r="J83" s="13" t="str">
        <x:f>IF(A83="","",IF(COUNTIFS('Bookings'!$A$6:$A$205,B83)&lt;&gt;1,"Booking missing/duplicate",IF(INDEX('Bookings'!$O$6:$O$205,MATCH(B83,'Bookings'!$A$6:$A$205,0))="","Not set",INDEX('Bookings'!$O$6:$O$205,MATCH(B83,'Bookings'!$A$6:$A$205,0)))))</x:f>
      </x:c>
      <x:c r="K83" s="13" t="str">
        <x:f>IF(A83="","",IF(F83="Alcohol-inclusive",8,IF(F83="Non-alcoholic",0,"Set pass type")))</x:f>
      </x:c>
      <x:c r="L83" s="9"/>
      <x:c r="M83" s="13" t="str">
        <x:f>IF(A83="","",IF(ISNUMBER(K83),K83-L83,"Set pass type"))</x:f>
      </x:c>
      <x:c r="N83" s="13" t="str">
        <x:f>IF(A83="","",IF(COUNTIFS($A$6:$A$205,A83)&gt;1,"Duplicate ticket ID",IF(OR(B83="",J83="Booking missing/duplicate"),"Link a unique booking",IF(OR(C83="",D83="",E83="",F83=""),"Complete guest name, Instagram, phone and pass",IF(OR(L83&lt;0,L83&gt;8,L83&lt;&gt;INT(L83),AND(ISNUMBER(K83),L83&gt;K83)),"Invalid coupon redemption",IF(AND(H83="Checked in",OR(J83&lt;&gt;"Confirmed",G83&lt;&gt;"Verified at entry",I83="")),"Check payment, age and check-in time",""))))))</x:f>
      </x:c>
    </x:row>
    <x:row r="84" ht="22" customHeight="1">
      <x:c r="A84" s="9"/>
      <x:c r="B84" s="9"/>
      <x:c r="C84" s="9"/>
      <x:c r="D84" s="9"/>
      <x:c r="E84" s="19"/>
      <x:c r="F84" s="9"/>
      <x:c r="G84" s="9"/>
      <x:c r="H84" s="9"/>
      <x:c r="I84" s="18"/>
      <x:c r="J84" s="13" t="str">
        <x:f>IF(A84="","",IF(COUNTIFS('Bookings'!$A$6:$A$205,B84)&lt;&gt;1,"Booking missing/duplicate",IF(INDEX('Bookings'!$O$6:$O$205,MATCH(B84,'Bookings'!$A$6:$A$205,0))="","Not set",INDEX('Bookings'!$O$6:$O$205,MATCH(B84,'Bookings'!$A$6:$A$205,0)))))</x:f>
      </x:c>
      <x:c r="K84" s="13" t="str">
        <x:f>IF(A84="","",IF(F84="Alcohol-inclusive",8,IF(F84="Non-alcoholic",0,"Set pass type")))</x:f>
      </x:c>
      <x:c r="L84" s="9"/>
      <x:c r="M84" s="13" t="str">
        <x:f>IF(A84="","",IF(ISNUMBER(K84),K84-L84,"Set pass type"))</x:f>
      </x:c>
      <x:c r="N84" s="13" t="str">
        <x:f>IF(A84="","",IF(COUNTIFS($A$6:$A$205,A84)&gt;1,"Duplicate ticket ID",IF(OR(B84="",J84="Booking missing/duplicate"),"Link a unique booking",IF(OR(C84="",D84="",E84="",F84=""),"Complete guest name, Instagram, phone and pass",IF(OR(L84&lt;0,L84&gt;8,L84&lt;&gt;INT(L84),AND(ISNUMBER(K84),L84&gt;K84)),"Invalid coupon redemption",IF(AND(H84="Checked in",OR(J84&lt;&gt;"Confirmed",G84&lt;&gt;"Verified at entry",I84="")),"Check payment, age and check-in time",""))))))</x:f>
      </x:c>
    </x:row>
    <x:row r="85" ht="22" customHeight="1">
      <x:c r="A85" s="9"/>
      <x:c r="B85" s="9"/>
      <x:c r="C85" s="9"/>
      <x:c r="D85" s="9"/>
      <x:c r="E85" s="19"/>
      <x:c r="F85" s="9"/>
      <x:c r="G85" s="9"/>
      <x:c r="H85" s="9"/>
      <x:c r="I85" s="18"/>
      <x:c r="J85" s="13" t="str">
        <x:f>IF(A85="","",IF(COUNTIFS('Bookings'!$A$6:$A$205,B85)&lt;&gt;1,"Booking missing/duplicate",IF(INDEX('Bookings'!$O$6:$O$205,MATCH(B85,'Bookings'!$A$6:$A$205,0))="","Not set",INDEX('Bookings'!$O$6:$O$205,MATCH(B85,'Bookings'!$A$6:$A$205,0)))))</x:f>
      </x:c>
      <x:c r="K85" s="13" t="str">
        <x:f>IF(A85="","",IF(F85="Alcohol-inclusive",8,IF(F85="Non-alcoholic",0,"Set pass type")))</x:f>
      </x:c>
      <x:c r="L85" s="9"/>
      <x:c r="M85" s="13" t="str">
        <x:f>IF(A85="","",IF(ISNUMBER(K85),K85-L85,"Set pass type"))</x:f>
      </x:c>
      <x:c r="N85" s="13" t="str">
        <x:f>IF(A85="","",IF(COUNTIFS($A$6:$A$205,A85)&gt;1,"Duplicate ticket ID",IF(OR(B85="",J85="Booking missing/duplicate"),"Link a unique booking",IF(OR(C85="",D85="",E85="",F85=""),"Complete guest name, Instagram, phone and pass",IF(OR(L85&lt;0,L85&gt;8,L85&lt;&gt;INT(L85),AND(ISNUMBER(K85),L85&gt;K85)),"Invalid coupon redemption",IF(AND(H85="Checked in",OR(J85&lt;&gt;"Confirmed",G85&lt;&gt;"Verified at entry",I85="")),"Check payment, age and check-in time",""))))))</x:f>
      </x:c>
    </x:row>
    <x:row r="86" ht="22" customHeight="1">
      <x:c r="A86" s="9"/>
      <x:c r="B86" s="9"/>
      <x:c r="C86" s="9"/>
      <x:c r="D86" s="9"/>
      <x:c r="E86" s="19"/>
      <x:c r="F86" s="9"/>
      <x:c r="G86" s="9"/>
      <x:c r="H86" s="9"/>
      <x:c r="I86" s="18"/>
      <x:c r="J86" s="13" t="str">
        <x:f>IF(A86="","",IF(COUNTIFS('Bookings'!$A$6:$A$205,B86)&lt;&gt;1,"Booking missing/duplicate",IF(INDEX('Bookings'!$O$6:$O$205,MATCH(B86,'Bookings'!$A$6:$A$205,0))="","Not set",INDEX('Bookings'!$O$6:$O$205,MATCH(B86,'Bookings'!$A$6:$A$205,0)))))</x:f>
      </x:c>
      <x:c r="K86" s="13" t="str">
        <x:f>IF(A86="","",IF(F86="Alcohol-inclusive",8,IF(F86="Non-alcoholic",0,"Set pass type")))</x:f>
      </x:c>
      <x:c r="L86" s="9"/>
      <x:c r="M86" s="13" t="str">
        <x:f>IF(A86="","",IF(ISNUMBER(K86),K86-L86,"Set pass type"))</x:f>
      </x:c>
      <x:c r="N86" s="13" t="str">
        <x:f>IF(A86="","",IF(COUNTIFS($A$6:$A$205,A86)&gt;1,"Duplicate ticket ID",IF(OR(B86="",J86="Booking missing/duplicate"),"Link a unique booking",IF(OR(C86="",D86="",E86="",F86=""),"Complete guest name, Instagram, phone and pass",IF(OR(L86&lt;0,L86&gt;8,L86&lt;&gt;INT(L86),AND(ISNUMBER(K86),L86&gt;K86)),"Invalid coupon redemption",IF(AND(H86="Checked in",OR(J86&lt;&gt;"Confirmed",G86&lt;&gt;"Verified at entry",I86="")),"Check payment, age and check-in time",""))))))</x:f>
      </x:c>
    </x:row>
    <x:row r="87" ht="22" customHeight="1">
      <x:c r="A87" s="9"/>
      <x:c r="B87" s="9"/>
      <x:c r="C87" s="9"/>
      <x:c r="D87" s="9"/>
      <x:c r="E87" s="19"/>
      <x:c r="F87" s="9"/>
      <x:c r="G87" s="9"/>
      <x:c r="H87" s="9"/>
      <x:c r="I87" s="18"/>
      <x:c r="J87" s="13" t="str">
        <x:f>IF(A87="","",IF(COUNTIFS('Bookings'!$A$6:$A$205,B87)&lt;&gt;1,"Booking missing/duplicate",IF(INDEX('Bookings'!$O$6:$O$205,MATCH(B87,'Bookings'!$A$6:$A$205,0))="","Not set",INDEX('Bookings'!$O$6:$O$205,MATCH(B87,'Bookings'!$A$6:$A$205,0)))))</x:f>
      </x:c>
      <x:c r="K87" s="13" t="str">
        <x:f>IF(A87="","",IF(F87="Alcohol-inclusive",8,IF(F87="Non-alcoholic",0,"Set pass type")))</x:f>
      </x:c>
      <x:c r="L87" s="9"/>
      <x:c r="M87" s="13" t="str">
        <x:f>IF(A87="","",IF(ISNUMBER(K87),K87-L87,"Set pass type"))</x:f>
      </x:c>
      <x:c r="N87" s="13" t="str">
        <x:f>IF(A87="","",IF(COUNTIFS($A$6:$A$205,A87)&gt;1,"Duplicate ticket ID",IF(OR(B87="",J87="Booking missing/duplicate"),"Link a unique booking",IF(OR(C87="",D87="",E87="",F87=""),"Complete guest name, Instagram, phone and pass",IF(OR(L87&lt;0,L87&gt;8,L87&lt;&gt;INT(L87),AND(ISNUMBER(K87),L87&gt;K87)),"Invalid coupon redemption",IF(AND(H87="Checked in",OR(J87&lt;&gt;"Confirmed",G87&lt;&gt;"Verified at entry",I87="")),"Check payment, age and check-in time",""))))))</x:f>
      </x:c>
    </x:row>
    <x:row r="88" ht="22" customHeight="1">
      <x:c r="A88" s="9"/>
      <x:c r="B88" s="9"/>
      <x:c r="C88" s="9"/>
      <x:c r="D88" s="9"/>
      <x:c r="E88" s="19"/>
      <x:c r="F88" s="9"/>
      <x:c r="G88" s="9"/>
      <x:c r="H88" s="9"/>
      <x:c r="I88" s="18"/>
      <x:c r="J88" s="13" t="str">
        <x:f>IF(A88="","",IF(COUNTIFS('Bookings'!$A$6:$A$205,B88)&lt;&gt;1,"Booking missing/duplicate",IF(INDEX('Bookings'!$O$6:$O$205,MATCH(B88,'Bookings'!$A$6:$A$205,0))="","Not set",INDEX('Bookings'!$O$6:$O$205,MATCH(B88,'Bookings'!$A$6:$A$205,0)))))</x:f>
      </x:c>
      <x:c r="K88" s="13" t="str">
        <x:f>IF(A88="","",IF(F88="Alcohol-inclusive",8,IF(F88="Non-alcoholic",0,"Set pass type")))</x:f>
      </x:c>
      <x:c r="L88" s="9"/>
      <x:c r="M88" s="13" t="str">
        <x:f>IF(A88="","",IF(ISNUMBER(K88),K88-L88,"Set pass type"))</x:f>
      </x:c>
      <x:c r="N88" s="13" t="str">
        <x:f>IF(A88="","",IF(COUNTIFS($A$6:$A$205,A88)&gt;1,"Duplicate ticket ID",IF(OR(B88="",J88="Booking missing/duplicate"),"Link a unique booking",IF(OR(C88="",D88="",E88="",F88=""),"Complete guest name, Instagram, phone and pass",IF(OR(L88&lt;0,L88&gt;8,L88&lt;&gt;INT(L88),AND(ISNUMBER(K88),L88&gt;K88)),"Invalid coupon redemption",IF(AND(H88="Checked in",OR(J88&lt;&gt;"Confirmed",G88&lt;&gt;"Verified at entry",I88="")),"Check payment, age and check-in time",""))))))</x:f>
      </x:c>
    </x:row>
    <x:row r="89" ht="22" customHeight="1">
      <x:c r="A89" s="9"/>
      <x:c r="B89" s="9"/>
      <x:c r="C89" s="9"/>
      <x:c r="D89" s="9"/>
      <x:c r="E89" s="19"/>
      <x:c r="F89" s="9"/>
      <x:c r="G89" s="9"/>
      <x:c r="H89" s="9"/>
      <x:c r="I89" s="18"/>
      <x:c r="J89" s="13" t="str">
        <x:f>IF(A89="","",IF(COUNTIFS('Bookings'!$A$6:$A$205,B89)&lt;&gt;1,"Booking missing/duplicate",IF(INDEX('Bookings'!$O$6:$O$205,MATCH(B89,'Bookings'!$A$6:$A$205,0))="","Not set",INDEX('Bookings'!$O$6:$O$205,MATCH(B89,'Bookings'!$A$6:$A$205,0)))))</x:f>
      </x:c>
      <x:c r="K89" s="13" t="str">
        <x:f>IF(A89="","",IF(F89="Alcohol-inclusive",8,IF(F89="Non-alcoholic",0,"Set pass type")))</x:f>
      </x:c>
      <x:c r="L89" s="9"/>
      <x:c r="M89" s="13" t="str">
        <x:f>IF(A89="","",IF(ISNUMBER(K89),K89-L89,"Set pass type"))</x:f>
      </x:c>
      <x:c r="N89" s="13" t="str">
        <x:f>IF(A89="","",IF(COUNTIFS($A$6:$A$205,A89)&gt;1,"Duplicate ticket ID",IF(OR(B89="",J89="Booking missing/duplicate"),"Link a unique booking",IF(OR(C89="",D89="",E89="",F89=""),"Complete guest name, Instagram, phone and pass",IF(OR(L89&lt;0,L89&gt;8,L89&lt;&gt;INT(L89),AND(ISNUMBER(K89),L89&gt;K89)),"Invalid coupon redemption",IF(AND(H89="Checked in",OR(J89&lt;&gt;"Confirmed",G89&lt;&gt;"Verified at entry",I89="")),"Check payment, age and check-in time",""))))))</x:f>
      </x:c>
    </x:row>
    <x:row r="90" ht="22" customHeight="1">
      <x:c r="A90" s="9"/>
      <x:c r="B90" s="9"/>
      <x:c r="C90" s="9"/>
      <x:c r="D90" s="9"/>
      <x:c r="E90" s="19"/>
      <x:c r="F90" s="9"/>
      <x:c r="G90" s="9"/>
      <x:c r="H90" s="9"/>
      <x:c r="I90" s="18"/>
      <x:c r="J90" s="13" t="str">
        <x:f>IF(A90="","",IF(COUNTIFS('Bookings'!$A$6:$A$205,B90)&lt;&gt;1,"Booking missing/duplicate",IF(INDEX('Bookings'!$O$6:$O$205,MATCH(B90,'Bookings'!$A$6:$A$205,0))="","Not set",INDEX('Bookings'!$O$6:$O$205,MATCH(B90,'Bookings'!$A$6:$A$205,0)))))</x:f>
      </x:c>
      <x:c r="K90" s="13" t="str">
        <x:f>IF(A90="","",IF(F90="Alcohol-inclusive",8,IF(F90="Non-alcoholic",0,"Set pass type")))</x:f>
      </x:c>
      <x:c r="L90" s="9"/>
      <x:c r="M90" s="13" t="str">
        <x:f>IF(A90="","",IF(ISNUMBER(K90),K90-L90,"Set pass type"))</x:f>
      </x:c>
      <x:c r="N90" s="13" t="str">
        <x:f>IF(A90="","",IF(COUNTIFS($A$6:$A$205,A90)&gt;1,"Duplicate ticket ID",IF(OR(B90="",J90="Booking missing/duplicate"),"Link a unique booking",IF(OR(C90="",D90="",E90="",F90=""),"Complete guest name, Instagram, phone and pass",IF(OR(L90&lt;0,L90&gt;8,L90&lt;&gt;INT(L90),AND(ISNUMBER(K90),L90&gt;K90)),"Invalid coupon redemption",IF(AND(H90="Checked in",OR(J90&lt;&gt;"Confirmed",G90&lt;&gt;"Verified at entry",I90="")),"Check payment, age and check-in time",""))))))</x:f>
      </x:c>
    </x:row>
    <x:row r="91" ht="22" customHeight="1">
      <x:c r="A91" s="9"/>
      <x:c r="B91" s="9"/>
      <x:c r="C91" s="9"/>
      <x:c r="D91" s="9"/>
      <x:c r="E91" s="19"/>
      <x:c r="F91" s="9"/>
      <x:c r="G91" s="9"/>
      <x:c r="H91" s="9"/>
      <x:c r="I91" s="18"/>
      <x:c r="J91" s="13" t="str">
        <x:f>IF(A91="","",IF(COUNTIFS('Bookings'!$A$6:$A$205,B91)&lt;&gt;1,"Booking missing/duplicate",IF(INDEX('Bookings'!$O$6:$O$205,MATCH(B91,'Bookings'!$A$6:$A$205,0))="","Not set",INDEX('Bookings'!$O$6:$O$205,MATCH(B91,'Bookings'!$A$6:$A$205,0)))))</x:f>
      </x:c>
      <x:c r="K91" s="13" t="str">
        <x:f>IF(A91="","",IF(F91="Alcohol-inclusive",8,IF(F91="Non-alcoholic",0,"Set pass type")))</x:f>
      </x:c>
      <x:c r="L91" s="9"/>
      <x:c r="M91" s="13" t="str">
        <x:f>IF(A91="","",IF(ISNUMBER(K91),K91-L91,"Set pass type"))</x:f>
      </x:c>
      <x:c r="N91" s="13" t="str">
        <x:f>IF(A91="","",IF(COUNTIFS($A$6:$A$205,A91)&gt;1,"Duplicate ticket ID",IF(OR(B91="",J91="Booking missing/duplicate"),"Link a unique booking",IF(OR(C91="",D91="",E91="",F91=""),"Complete guest name, Instagram, phone and pass",IF(OR(L91&lt;0,L91&gt;8,L91&lt;&gt;INT(L91),AND(ISNUMBER(K91),L91&gt;K91)),"Invalid coupon redemption",IF(AND(H91="Checked in",OR(J91&lt;&gt;"Confirmed",G91&lt;&gt;"Verified at entry",I91="")),"Check payment, age and check-in time",""))))))</x:f>
      </x:c>
    </x:row>
    <x:row r="92" ht="22" customHeight="1">
      <x:c r="A92" s="9"/>
      <x:c r="B92" s="9"/>
      <x:c r="C92" s="9"/>
      <x:c r="D92" s="9"/>
      <x:c r="E92" s="19"/>
      <x:c r="F92" s="9"/>
      <x:c r="G92" s="9"/>
      <x:c r="H92" s="9"/>
      <x:c r="I92" s="18"/>
      <x:c r="J92" s="13" t="str">
        <x:f>IF(A92="","",IF(COUNTIFS('Bookings'!$A$6:$A$205,B92)&lt;&gt;1,"Booking missing/duplicate",IF(INDEX('Bookings'!$O$6:$O$205,MATCH(B92,'Bookings'!$A$6:$A$205,0))="","Not set",INDEX('Bookings'!$O$6:$O$205,MATCH(B92,'Bookings'!$A$6:$A$205,0)))))</x:f>
      </x:c>
      <x:c r="K92" s="13" t="str">
        <x:f>IF(A92="","",IF(F92="Alcohol-inclusive",8,IF(F92="Non-alcoholic",0,"Set pass type")))</x:f>
      </x:c>
      <x:c r="L92" s="9"/>
      <x:c r="M92" s="13" t="str">
        <x:f>IF(A92="","",IF(ISNUMBER(K92),K92-L92,"Set pass type"))</x:f>
      </x:c>
      <x:c r="N92" s="13" t="str">
        <x:f>IF(A92="","",IF(COUNTIFS($A$6:$A$205,A92)&gt;1,"Duplicate ticket ID",IF(OR(B92="",J92="Booking missing/duplicate"),"Link a unique booking",IF(OR(C92="",D92="",E92="",F92=""),"Complete guest name, Instagram, phone and pass",IF(OR(L92&lt;0,L92&gt;8,L92&lt;&gt;INT(L92),AND(ISNUMBER(K92),L92&gt;K92)),"Invalid coupon redemption",IF(AND(H92="Checked in",OR(J92&lt;&gt;"Confirmed",G92&lt;&gt;"Verified at entry",I92="")),"Check payment, age and check-in time",""))))))</x:f>
      </x:c>
    </x:row>
    <x:row r="93" ht="22" customHeight="1">
      <x:c r="A93" s="9"/>
      <x:c r="B93" s="9"/>
      <x:c r="C93" s="9"/>
      <x:c r="D93" s="9"/>
      <x:c r="E93" s="19"/>
      <x:c r="F93" s="9"/>
      <x:c r="G93" s="9"/>
      <x:c r="H93" s="9"/>
      <x:c r="I93" s="18"/>
      <x:c r="J93" s="13" t="str">
        <x:f>IF(A93="","",IF(COUNTIFS('Bookings'!$A$6:$A$205,B93)&lt;&gt;1,"Booking missing/duplicate",IF(INDEX('Bookings'!$O$6:$O$205,MATCH(B93,'Bookings'!$A$6:$A$205,0))="","Not set",INDEX('Bookings'!$O$6:$O$205,MATCH(B93,'Bookings'!$A$6:$A$205,0)))))</x:f>
      </x:c>
      <x:c r="K93" s="13" t="str">
        <x:f>IF(A93="","",IF(F93="Alcohol-inclusive",8,IF(F93="Non-alcoholic",0,"Set pass type")))</x:f>
      </x:c>
      <x:c r="L93" s="9"/>
      <x:c r="M93" s="13" t="str">
        <x:f>IF(A93="","",IF(ISNUMBER(K93),K93-L93,"Set pass type"))</x:f>
      </x:c>
      <x:c r="N93" s="13" t="str">
        <x:f>IF(A93="","",IF(COUNTIFS($A$6:$A$205,A93)&gt;1,"Duplicate ticket ID",IF(OR(B93="",J93="Booking missing/duplicate"),"Link a unique booking",IF(OR(C93="",D93="",E93="",F93=""),"Complete guest name, Instagram, phone and pass",IF(OR(L93&lt;0,L93&gt;8,L93&lt;&gt;INT(L93),AND(ISNUMBER(K93),L93&gt;K93)),"Invalid coupon redemption",IF(AND(H93="Checked in",OR(J93&lt;&gt;"Confirmed",G93&lt;&gt;"Verified at entry",I93="")),"Check payment, age and check-in time",""))))))</x:f>
      </x:c>
    </x:row>
    <x:row r="94" ht="22" customHeight="1">
      <x:c r="A94" s="9"/>
      <x:c r="B94" s="9"/>
      <x:c r="C94" s="9"/>
      <x:c r="D94" s="9"/>
      <x:c r="E94" s="19"/>
      <x:c r="F94" s="9"/>
      <x:c r="G94" s="9"/>
      <x:c r="H94" s="9"/>
      <x:c r="I94" s="18"/>
      <x:c r="J94" s="13" t="str">
        <x:f>IF(A94="","",IF(COUNTIFS('Bookings'!$A$6:$A$205,B94)&lt;&gt;1,"Booking missing/duplicate",IF(INDEX('Bookings'!$O$6:$O$205,MATCH(B94,'Bookings'!$A$6:$A$205,0))="","Not set",INDEX('Bookings'!$O$6:$O$205,MATCH(B94,'Bookings'!$A$6:$A$205,0)))))</x:f>
      </x:c>
      <x:c r="K94" s="13" t="str">
        <x:f>IF(A94="","",IF(F94="Alcohol-inclusive",8,IF(F94="Non-alcoholic",0,"Set pass type")))</x:f>
      </x:c>
      <x:c r="L94" s="9"/>
      <x:c r="M94" s="13" t="str">
        <x:f>IF(A94="","",IF(ISNUMBER(K94),K94-L94,"Set pass type"))</x:f>
      </x:c>
      <x:c r="N94" s="13" t="str">
        <x:f>IF(A94="","",IF(COUNTIFS($A$6:$A$205,A94)&gt;1,"Duplicate ticket ID",IF(OR(B94="",J94="Booking missing/duplicate"),"Link a unique booking",IF(OR(C94="",D94="",E94="",F94=""),"Complete guest name, Instagram, phone and pass",IF(OR(L94&lt;0,L94&gt;8,L94&lt;&gt;INT(L94),AND(ISNUMBER(K94),L94&gt;K94)),"Invalid coupon redemption",IF(AND(H94="Checked in",OR(J94&lt;&gt;"Confirmed",G94&lt;&gt;"Verified at entry",I94="")),"Check payment, age and check-in time",""))))))</x:f>
      </x:c>
    </x:row>
    <x:row r="95" ht="22" customHeight="1">
      <x:c r="A95" s="9"/>
      <x:c r="B95" s="9"/>
      <x:c r="C95" s="9"/>
      <x:c r="D95" s="9"/>
      <x:c r="E95" s="19"/>
      <x:c r="F95" s="9"/>
      <x:c r="G95" s="9"/>
      <x:c r="H95" s="9"/>
      <x:c r="I95" s="18"/>
      <x:c r="J95" s="13" t="str">
        <x:f>IF(A95="","",IF(COUNTIFS('Bookings'!$A$6:$A$205,B95)&lt;&gt;1,"Booking missing/duplicate",IF(INDEX('Bookings'!$O$6:$O$205,MATCH(B95,'Bookings'!$A$6:$A$205,0))="","Not set",INDEX('Bookings'!$O$6:$O$205,MATCH(B95,'Bookings'!$A$6:$A$205,0)))))</x:f>
      </x:c>
      <x:c r="K95" s="13" t="str">
        <x:f>IF(A95="","",IF(F95="Alcohol-inclusive",8,IF(F95="Non-alcoholic",0,"Set pass type")))</x:f>
      </x:c>
      <x:c r="L95" s="9"/>
      <x:c r="M95" s="13" t="str">
        <x:f>IF(A95="","",IF(ISNUMBER(K95),K95-L95,"Set pass type"))</x:f>
      </x:c>
      <x:c r="N95" s="13" t="str">
        <x:f>IF(A95="","",IF(COUNTIFS($A$6:$A$205,A95)&gt;1,"Duplicate ticket ID",IF(OR(B95="",J95="Booking missing/duplicate"),"Link a unique booking",IF(OR(C95="",D95="",E95="",F95=""),"Complete guest name, Instagram, phone and pass",IF(OR(L95&lt;0,L95&gt;8,L95&lt;&gt;INT(L95),AND(ISNUMBER(K95),L95&gt;K95)),"Invalid coupon redemption",IF(AND(H95="Checked in",OR(J95&lt;&gt;"Confirmed",G95&lt;&gt;"Verified at entry",I95="")),"Check payment, age and check-in time",""))))))</x:f>
      </x:c>
    </x:row>
    <x:row r="96" ht="22" customHeight="1">
      <x:c r="A96" s="9"/>
      <x:c r="B96" s="9"/>
      <x:c r="C96" s="9"/>
      <x:c r="D96" s="9"/>
      <x:c r="E96" s="19"/>
      <x:c r="F96" s="9"/>
      <x:c r="G96" s="9"/>
      <x:c r="H96" s="9"/>
      <x:c r="I96" s="18"/>
      <x:c r="J96" s="13" t="str">
        <x:f>IF(A96="","",IF(COUNTIFS('Bookings'!$A$6:$A$205,B96)&lt;&gt;1,"Booking missing/duplicate",IF(INDEX('Bookings'!$O$6:$O$205,MATCH(B96,'Bookings'!$A$6:$A$205,0))="","Not set",INDEX('Bookings'!$O$6:$O$205,MATCH(B96,'Bookings'!$A$6:$A$205,0)))))</x:f>
      </x:c>
      <x:c r="K96" s="13" t="str">
        <x:f>IF(A96="","",IF(F96="Alcohol-inclusive",8,IF(F96="Non-alcoholic",0,"Set pass type")))</x:f>
      </x:c>
      <x:c r="L96" s="9"/>
      <x:c r="M96" s="13" t="str">
        <x:f>IF(A96="","",IF(ISNUMBER(K96),K96-L96,"Set pass type"))</x:f>
      </x:c>
      <x:c r="N96" s="13" t="str">
        <x:f>IF(A96="","",IF(COUNTIFS($A$6:$A$205,A96)&gt;1,"Duplicate ticket ID",IF(OR(B96="",J96="Booking missing/duplicate"),"Link a unique booking",IF(OR(C96="",D96="",E96="",F96=""),"Complete guest name, Instagram, phone and pass",IF(OR(L96&lt;0,L96&gt;8,L96&lt;&gt;INT(L96),AND(ISNUMBER(K96),L96&gt;K96)),"Invalid coupon redemption",IF(AND(H96="Checked in",OR(J96&lt;&gt;"Confirmed",G96&lt;&gt;"Verified at entry",I96="")),"Check payment, age and check-in time",""))))))</x:f>
      </x:c>
    </x:row>
    <x:row r="97" ht="22" customHeight="1">
      <x:c r="A97" s="9"/>
      <x:c r="B97" s="9"/>
      <x:c r="C97" s="9"/>
      <x:c r="D97" s="9"/>
      <x:c r="E97" s="19"/>
      <x:c r="F97" s="9"/>
      <x:c r="G97" s="9"/>
      <x:c r="H97" s="9"/>
      <x:c r="I97" s="18"/>
      <x:c r="J97" s="13" t="str">
        <x:f>IF(A97="","",IF(COUNTIFS('Bookings'!$A$6:$A$205,B97)&lt;&gt;1,"Booking missing/duplicate",IF(INDEX('Bookings'!$O$6:$O$205,MATCH(B97,'Bookings'!$A$6:$A$205,0))="","Not set",INDEX('Bookings'!$O$6:$O$205,MATCH(B97,'Bookings'!$A$6:$A$205,0)))))</x:f>
      </x:c>
      <x:c r="K97" s="13" t="str">
        <x:f>IF(A97="","",IF(F97="Alcohol-inclusive",8,IF(F97="Non-alcoholic",0,"Set pass type")))</x:f>
      </x:c>
      <x:c r="L97" s="9"/>
      <x:c r="M97" s="13" t="str">
        <x:f>IF(A97="","",IF(ISNUMBER(K97),K97-L97,"Set pass type"))</x:f>
      </x:c>
      <x:c r="N97" s="13" t="str">
        <x:f>IF(A97="","",IF(COUNTIFS($A$6:$A$205,A97)&gt;1,"Duplicate ticket ID",IF(OR(B97="",J97="Booking missing/duplicate"),"Link a unique booking",IF(OR(C97="",D97="",E97="",F97=""),"Complete guest name, Instagram, phone and pass",IF(OR(L97&lt;0,L97&gt;8,L97&lt;&gt;INT(L97),AND(ISNUMBER(K97),L97&gt;K97)),"Invalid coupon redemption",IF(AND(H97="Checked in",OR(J97&lt;&gt;"Confirmed",G97&lt;&gt;"Verified at entry",I97="")),"Check payment, age and check-in time",""))))))</x:f>
      </x:c>
    </x:row>
    <x:row r="98" ht="22" customHeight="1">
      <x:c r="A98" s="9"/>
      <x:c r="B98" s="9"/>
      <x:c r="C98" s="9"/>
      <x:c r="D98" s="9"/>
      <x:c r="E98" s="19"/>
      <x:c r="F98" s="9"/>
      <x:c r="G98" s="9"/>
      <x:c r="H98" s="9"/>
      <x:c r="I98" s="18"/>
      <x:c r="J98" s="13" t="str">
        <x:f>IF(A98="","",IF(COUNTIFS('Bookings'!$A$6:$A$205,B98)&lt;&gt;1,"Booking missing/duplicate",IF(INDEX('Bookings'!$O$6:$O$205,MATCH(B98,'Bookings'!$A$6:$A$205,0))="","Not set",INDEX('Bookings'!$O$6:$O$205,MATCH(B98,'Bookings'!$A$6:$A$205,0)))))</x:f>
      </x:c>
      <x:c r="K98" s="13" t="str">
        <x:f>IF(A98="","",IF(F98="Alcohol-inclusive",8,IF(F98="Non-alcoholic",0,"Set pass type")))</x:f>
      </x:c>
      <x:c r="L98" s="9"/>
      <x:c r="M98" s="13" t="str">
        <x:f>IF(A98="","",IF(ISNUMBER(K98),K98-L98,"Set pass type"))</x:f>
      </x:c>
      <x:c r="N98" s="13" t="str">
        <x:f>IF(A98="","",IF(COUNTIFS($A$6:$A$205,A98)&gt;1,"Duplicate ticket ID",IF(OR(B98="",J98="Booking missing/duplicate"),"Link a unique booking",IF(OR(C98="",D98="",E98="",F98=""),"Complete guest name, Instagram, phone and pass",IF(OR(L98&lt;0,L98&gt;8,L98&lt;&gt;INT(L98),AND(ISNUMBER(K98),L98&gt;K98)),"Invalid coupon redemption",IF(AND(H98="Checked in",OR(J98&lt;&gt;"Confirmed",G98&lt;&gt;"Verified at entry",I98="")),"Check payment, age and check-in time",""))))))</x:f>
      </x:c>
    </x:row>
    <x:row r="99" ht="22" customHeight="1">
      <x:c r="A99" s="9"/>
      <x:c r="B99" s="9"/>
      <x:c r="C99" s="9"/>
      <x:c r="D99" s="9"/>
      <x:c r="E99" s="19"/>
      <x:c r="F99" s="9"/>
      <x:c r="G99" s="9"/>
      <x:c r="H99" s="9"/>
      <x:c r="I99" s="18"/>
      <x:c r="J99" s="13" t="str">
        <x:f>IF(A99="","",IF(COUNTIFS('Bookings'!$A$6:$A$205,B99)&lt;&gt;1,"Booking missing/duplicate",IF(INDEX('Bookings'!$O$6:$O$205,MATCH(B99,'Bookings'!$A$6:$A$205,0))="","Not set",INDEX('Bookings'!$O$6:$O$205,MATCH(B99,'Bookings'!$A$6:$A$205,0)))))</x:f>
      </x:c>
      <x:c r="K99" s="13" t="str">
        <x:f>IF(A99="","",IF(F99="Alcohol-inclusive",8,IF(F99="Non-alcoholic",0,"Set pass type")))</x:f>
      </x:c>
      <x:c r="L99" s="9"/>
      <x:c r="M99" s="13" t="str">
        <x:f>IF(A99="","",IF(ISNUMBER(K99),K99-L99,"Set pass type"))</x:f>
      </x:c>
      <x:c r="N99" s="13" t="str">
        <x:f>IF(A99="","",IF(COUNTIFS($A$6:$A$205,A99)&gt;1,"Duplicate ticket ID",IF(OR(B99="",J99="Booking missing/duplicate"),"Link a unique booking",IF(OR(C99="",D99="",E99="",F99=""),"Complete guest name, Instagram, phone and pass",IF(OR(L99&lt;0,L99&gt;8,L99&lt;&gt;INT(L99),AND(ISNUMBER(K99),L99&gt;K99)),"Invalid coupon redemption",IF(AND(H99="Checked in",OR(J99&lt;&gt;"Confirmed",G99&lt;&gt;"Verified at entry",I99="")),"Check payment, age and check-in time",""))))))</x:f>
      </x:c>
    </x:row>
    <x:row r="100" ht="22" customHeight="1">
      <x:c r="A100" s="9"/>
      <x:c r="B100" s="9"/>
      <x:c r="C100" s="9"/>
      <x:c r="D100" s="9"/>
      <x:c r="E100" s="19"/>
      <x:c r="F100" s="9"/>
      <x:c r="G100" s="9"/>
      <x:c r="H100" s="9"/>
      <x:c r="I100" s="18"/>
      <x:c r="J100" s="13" t="str">
        <x:f>IF(A100="","",IF(COUNTIFS('Bookings'!$A$6:$A$205,B100)&lt;&gt;1,"Booking missing/duplicate",IF(INDEX('Bookings'!$O$6:$O$205,MATCH(B100,'Bookings'!$A$6:$A$205,0))="","Not set",INDEX('Bookings'!$O$6:$O$205,MATCH(B100,'Bookings'!$A$6:$A$205,0)))))</x:f>
      </x:c>
      <x:c r="K100" s="13" t="str">
        <x:f>IF(A100="","",IF(F100="Alcohol-inclusive",8,IF(F100="Non-alcoholic",0,"Set pass type")))</x:f>
      </x:c>
      <x:c r="L100" s="9"/>
      <x:c r="M100" s="13" t="str">
        <x:f>IF(A100="","",IF(ISNUMBER(K100),K100-L100,"Set pass type"))</x:f>
      </x:c>
      <x:c r="N100" s="13" t="str">
        <x:f>IF(A100="","",IF(COUNTIFS($A$6:$A$205,A100)&gt;1,"Duplicate ticket ID",IF(OR(B100="",J100="Booking missing/duplicate"),"Link a unique booking",IF(OR(C100="",D100="",E100="",F100=""),"Complete guest name, Instagram, phone and pass",IF(OR(L100&lt;0,L100&gt;8,L100&lt;&gt;INT(L100),AND(ISNUMBER(K100),L100&gt;K100)),"Invalid coupon redemption",IF(AND(H100="Checked in",OR(J100&lt;&gt;"Confirmed",G100&lt;&gt;"Verified at entry",I100="")),"Check payment, age and check-in time",""))))))</x:f>
      </x:c>
    </x:row>
    <x:row r="101" ht="22" customHeight="1">
      <x:c r="A101" s="9"/>
      <x:c r="B101" s="9"/>
      <x:c r="C101" s="9"/>
      <x:c r="D101" s="9"/>
      <x:c r="E101" s="19"/>
      <x:c r="F101" s="9"/>
      <x:c r="G101" s="9"/>
      <x:c r="H101" s="9"/>
      <x:c r="I101" s="18"/>
      <x:c r="J101" s="13" t="str">
        <x:f>IF(A101="","",IF(COUNTIFS('Bookings'!$A$6:$A$205,B101)&lt;&gt;1,"Booking missing/duplicate",IF(INDEX('Bookings'!$O$6:$O$205,MATCH(B101,'Bookings'!$A$6:$A$205,0))="","Not set",INDEX('Bookings'!$O$6:$O$205,MATCH(B101,'Bookings'!$A$6:$A$205,0)))))</x:f>
      </x:c>
      <x:c r="K101" s="13" t="str">
        <x:f>IF(A101="","",IF(F101="Alcohol-inclusive",8,IF(F101="Non-alcoholic",0,"Set pass type")))</x:f>
      </x:c>
      <x:c r="L101" s="9"/>
      <x:c r="M101" s="13" t="str">
        <x:f>IF(A101="","",IF(ISNUMBER(K101),K101-L101,"Set pass type"))</x:f>
      </x:c>
      <x:c r="N101" s="13" t="str">
        <x:f>IF(A101="","",IF(COUNTIFS($A$6:$A$205,A101)&gt;1,"Duplicate ticket ID",IF(OR(B101="",J101="Booking missing/duplicate"),"Link a unique booking",IF(OR(C101="",D101="",E101="",F101=""),"Complete guest name, Instagram, phone and pass",IF(OR(L101&lt;0,L101&gt;8,L101&lt;&gt;INT(L101),AND(ISNUMBER(K101),L101&gt;K101)),"Invalid coupon redemption",IF(AND(H101="Checked in",OR(J101&lt;&gt;"Confirmed",G101&lt;&gt;"Verified at entry",I101="")),"Check payment, age and check-in time",""))))))</x:f>
      </x:c>
    </x:row>
    <x:row r="102" ht="22" customHeight="1">
      <x:c r="A102" s="9"/>
      <x:c r="B102" s="9"/>
      <x:c r="C102" s="9"/>
      <x:c r="D102" s="9"/>
      <x:c r="E102" s="19"/>
      <x:c r="F102" s="9"/>
      <x:c r="G102" s="9"/>
      <x:c r="H102" s="9"/>
      <x:c r="I102" s="18"/>
      <x:c r="J102" s="13" t="str">
        <x:f>IF(A102="","",IF(COUNTIFS('Bookings'!$A$6:$A$205,B102)&lt;&gt;1,"Booking missing/duplicate",IF(INDEX('Bookings'!$O$6:$O$205,MATCH(B102,'Bookings'!$A$6:$A$205,0))="","Not set",INDEX('Bookings'!$O$6:$O$205,MATCH(B102,'Bookings'!$A$6:$A$205,0)))))</x:f>
      </x:c>
      <x:c r="K102" s="13" t="str">
        <x:f>IF(A102="","",IF(F102="Alcohol-inclusive",8,IF(F102="Non-alcoholic",0,"Set pass type")))</x:f>
      </x:c>
      <x:c r="L102" s="9"/>
      <x:c r="M102" s="13" t="str">
        <x:f>IF(A102="","",IF(ISNUMBER(K102),K102-L102,"Set pass type"))</x:f>
      </x:c>
      <x:c r="N102" s="13" t="str">
        <x:f>IF(A102="","",IF(COUNTIFS($A$6:$A$205,A102)&gt;1,"Duplicate ticket ID",IF(OR(B102="",J102="Booking missing/duplicate"),"Link a unique booking",IF(OR(C102="",D102="",E102="",F102=""),"Complete guest name, Instagram, phone and pass",IF(OR(L102&lt;0,L102&gt;8,L102&lt;&gt;INT(L102),AND(ISNUMBER(K102),L102&gt;K102)),"Invalid coupon redemption",IF(AND(H102="Checked in",OR(J102&lt;&gt;"Confirmed",G102&lt;&gt;"Verified at entry",I102="")),"Check payment, age and check-in time",""))))))</x:f>
      </x:c>
    </x:row>
    <x:row r="103" ht="22" customHeight="1">
      <x:c r="A103" s="9"/>
      <x:c r="B103" s="9"/>
      <x:c r="C103" s="9"/>
      <x:c r="D103" s="9"/>
      <x:c r="E103" s="19"/>
      <x:c r="F103" s="9"/>
      <x:c r="G103" s="9"/>
      <x:c r="H103" s="9"/>
      <x:c r="I103" s="18"/>
      <x:c r="J103" s="13" t="str">
        <x:f>IF(A103="","",IF(COUNTIFS('Bookings'!$A$6:$A$205,B103)&lt;&gt;1,"Booking missing/duplicate",IF(INDEX('Bookings'!$O$6:$O$205,MATCH(B103,'Bookings'!$A$6:$A$205,0))="","Not set",INDEX('Bookings'!$O$6:$O$205,MATCH(B103,'Bookings'!$A$6:$A$205,0)))))</x:f>
      </x:c>
      <x:c r="K103" s="13" t="str">
        <x:f>IF(A103="","",IF(F103="Alcohol-inclusive",8,IF(F103="Non-alcoholic",0,"Set pass type")))</x:f>
      </x:c>
      <x:c r="L103" s="9"/>
      <x:c r="M103" s="13" t="str">
        <x:f>IF(A103="","",IF(ISNUMBER(K103),K103-L103,"Set pass type"))</x:f>
      </x:c>
      <x:c r="N103" s="13" t="str">
        <x:f>IF(A103="","",IF(COUNTIFS($A$6:$A$205,A103)&gt;1,"Duplicate ticket ID",IF(OR(B103="",J103="Booking missing/duplicate"),"Link a unique booking",IF(OR(C103="",D103="",E103="",F103=""),"Complete guest name, Instagram, phone and pass",IF(OR(L103&lt;0,L103&gt;8,L103&lt;&gt;INT(L103),AND(ISNUMBER(K103),L103&gt;K103)),"Invalid coupon redemption",IF(AND(H103="Checked in",OR(J103&lt;&gt;"Confirmed",G103&lt;&gt;"Verified at entry",I103="")),"Check payment, age and check-in time",""))))))</x:f>
      </x:c>
    </x:row>
    <x:row r="104" ht="22" customHeight="1">
      <x:c r="A104" s="9"/>
      <x:c r="B104" s="9"/>
      <x:c r="C104" s="9"/>
      <x:c r="D104" s="9"/>
      <x:c r="E104" s="19"/>
      <x:c r="F104" s="9"/>
      <x:c r="G104" s="9"/>
      <x:c r="H104" s="9"/>
      <x:c r="I104" s="18"/>
      <x:c r="J104" s="13" t="str">
        <x:f>IF(A104="","",IF(COUNTIFS('Bookings'!$A$6:$A$205,B104)&lt;&gt;1,"Booking missing/duplicate",IF(INDEX('Bookings'!$O$6:$O$205,MATCH(B104,'Bookings'!$A$6:$A$205,0))="","Not set",INDEX('Bookings'!$O$6:$O$205,MATCH(B104,'Bookings'!$A$6:$A$205,0)))))</x:f>
      </x:c>
      <x:c r="K104" s="13" t="str">
        <x:f>IF(A104="","",IF(F104="Alcohol-inclusive",8,IF(F104="Non-alcoholic",0,"Set pass type")))</x:f>
      </x:c>
      <x:c r="L104" s="9"/>
      <x:c r="M104" s="13" t="str">
        <x:f>IF(A104="","",IF(ISNUMBER(K104),K104-L104,"Set pass type"))</x:f>
      </x:c>
      <x:c r="N104" s="13" t="str">
        <x:f>IF(A104="","",IF(COUNTIFS($A$6:$A$205,A104)&gt;1,"Duplicate ticket ID",IF(OR(B104="",J104="Booking missing/duplicate"),"Link a unique booking",IF(OR(C104="",D104="",E104="",F104=""),"Complete guest name, Instagram, phone and pass",IF(OR(L104&lt;0,L104&gt;8,L104&lt;&gt;INT(L104),AND(ISNUMBER(K104),L104&gt;K104)),"Invalid coupon redemption",IF(AND(H104="Checked in",OR(J104&lt;&gt;"Confirmed",G104&lt;&gt;"Verified at entry",I104="")),"Check payment, age and check-in time",""))))))</x:f>
      </x:c>
    </x:row>
    <x:row r="105" ht="22" customHeight="1">
      <x:c r="A105" s="9"/>
      <x:c r="B105" s="9"/>
      <x:c r="C105" s="9"/>
      <x:c r="D105" s="9"/>
      <x:c r="E105" s="19"/>
      <x:c r="F105" s="9"/>
      <x:c r="G105" s="9"/>
      <x:c r="H105" s="9"/>
      <x:c r="I105" s="18"/>
      <x:c r="J105" s="13" t="str">
        <x:f>IF(A105="","",IF(COUNTIFS('Bookings'!$A$6:$A$205,B105)&lt;&gt;1,"Booking missing/duplicate",IF(INDEX('Bookings'!$O$6:$O$205,MATCH(B105,'Bookings'!$A$6:$A$205,0))="","Not set",INDEX('Bookings'!$O$6:$O$205,MATCH(B105,'Bookings'!$A$6:$A$205,0)))))</x:f>
      </x:c>
      <x:c r="K105" s="13" t="str">
        <x:f>IF(A105="","",IF(F105="Alcohol-inclusive",8,IF(F105="Non-alcoholic",0,"Set pass type")))</x:f>
      </x:c>
      <x:c r="L105" s="9"/>
      <x:c r="M105" s="13" t="str">
        <x:f>IF(A105="","",IF(ISNUMBER(K105),K105-L105,"Set pass type"))</x:f>
      </x:c>
      <x:c r="N105" s="13" t="str">
        <x:f>IF(A105="","",IF(COUNTIFS($A$6:$A$205,A105)&gt;1,"Duplicate ticket ID",IF(OR(B105="",J105="Booking missing/duplicate"),"Link a unique booking",IF(OR(C105="",D105="",E105="",F105=""),"Complete guest name, Instagram, phone and pass",IF(OR(L105&lt;0,L105&gt;8,L105&lt;&gt;INT(L105),AND(ISNUMBER(K105),L105&gt;K105)),"Invalid coupon redemption",IF(AND(H105="Checked in",OR(J105&lt;&gt;"Confirmed",G105&lt;&gt;"Verified at entry",I105="")),"Check payment, age and check-in time",""))))))</x:f>
      </x:c>
    </x:row>
    <x:row r="106" ht="22" customHeight="1">
      <x:c r="A106" s="9"/>
      <x:c r="B106" s="9"/>
      <x:c r="C106" s="9"/>
      <x:c r="D106" s="9"/>
      <x:c r="E106" s="19"/>
      <x:c r="F106" s="9"/>
      <x:c r="G106" s="9"/>
      <x:c r="H106" s="9"/>
      <x:c r="I106" s="18"/>
      <x:c r="J106" s="13" t="str">
        <x:f>IF(A106="","",IF(COUNTIFS('Bookings'!$A$6:$A$205,B106)&lt;&gt;1,"Booking missing/duplicate",IF(INDEX('Bookings'!$O$6:$O$205,MATCH(B106,'Bookings'!$A$6:$A$205,0))="","Not set",INDEX('Bookings'!$O$6:$O$205,MATCH(B106,'Bookings'!$A$6:$A$205,0)))))</x:f>
      </x:c>
      <x:c r="K106" s="13" t="str">
        <x:f>IF(A106="","",IF(F106="Alcohol-inclusive",8,IF(F106="Non-alcoholic",0,"Set pass type")))</x:f>
      </x:c>
      <x:c r="L106" s="9"/>
      <x:c r="M106" s="13" t="str">
        <x:f>IF(A106="","",IF(ISNUMBER(K106),K106-L106,"Set pass type"))</x:f>
      </x:c>
      <x:c r="N106" s="13" t="str">
        <x:f>IF(A106="","",IF(COUNTIFS($A$6:$A$205,A106)&gt;1,"Duplicate ticket ID",IF(OR(B106="",J106="Booking missing/duplicate"),"Link a unique booking",IF(OR(C106="",D106="",E106="",F106=""),"Complete guest name, Instagram, phone and pass",IF(OR(L106&lt;0,L106&gt;8,L106&lt;&gt;INT(L106),AND(ISNUMBER(K106),L106&gt;K106)),"Invalid coupon redemption",IF(AND(H106="Checked in",OR(J106&lt;&gt;"Confirmed",G106&lt;&gt;"Verified at entry",I106="")),"Check payment, age and check-in time",""))))))</x:f>
      </x:c>
    </x:row>
    <x:row r="107" ht="22" customHeight="1">
      <x:c r="A107" s="9"/>
      <x:c r="B107" s="9"/>
      <x:c r="C107" s="9"/>
      <x:c r="D107" s="9"/>
      <x:c r="E107" s="19"/>
      <x:c r="F107" s="9"/>
      <x:c r="G107" s="9"/>
      <x:c r="H107" s="9"/>
      <x:c r="I107" s="18"/>
      <x:c r="J107" s="13" t="str">
        <x:f>IF(A107="","",IF(COUNTIFS('Bookings'!$A$6:$A$205,B107)&lt;&gt;1,"Booking missing/duplicate",IF(INDEX('Bookings'!$O$6:$O$205,MATCH(B107,'Bookings'!$A$6:$A$205,0))="","Not set",INDEX('Bookings'!$O$6:$O$205,MATCH(B107,'Bookings'!$A$6:$A$205,0)))))</x:f>
      </x:c>
      <x:c r="K107" s="13" t="str">
        <x:f>IF(A107="","",IF(F107="Alcohol-inclusive",8,IF(F107="Non-alcoholic",0,"Set pass type")))</x:f>
      </x:c>
      <x:c r="L107" s="9"/>
      <x:c r="M107" s="13" t="str">
        <x:f>IF(A107="","",IF(ISNUMBER(K107),K107-L107,"Set pass type"))</x:f>
      </x:c>
      <x:c r="N107" s="13" t="str">
        <x:f>IF(A107="","",IF(COUNTIFS($A$6:$A$205,A107)&gt;1,"Duplicate ticket ID",IF(OR(B107="",J107="Booking missing/duplicate"),"Link a unique booking",IF(OR(C107="",D107="",E107="",F107=""),"Complete guest name, Instagram, phone and pass",IF(OR(L107&lt;0,L107&gt;8,L107&lt;&gt;INT(L107),AND(ISNUMBER(K107),L107&gt;K107)),"Invalid coupon redemption",IF(AND(H107="Checked in",OR(J107&lt;&gt;"Confirmed",G107&lt;&gt;"Verified at entry",I107="")),"Check payment, age and check-in time",""))))))</x:f>
      </x:c>
    </x:row>
    <x:row r="108" ht="22" customHeight="1">
      <x:c r="A108" s="9"/>
      <x:c r="B108" s="9"/>
      <x:c r="C108" s="9"/>
      <x:c r="D108" s="9"/>
      <x:c r="E108" s="19"/>
      <x:c r="F108" s="9"/>
      <x:c r="G108" s="9"/>
      <x:c r="H108" s="9"/>
      <x:c r="I108" s="18"/>
      <x:c r="J108" s="13" t="str">
        <x:f>IF(A108="","",IF(COUNTIFS('Bookings'!$A$6:$A$205,B108)&lt;&gt;1,"Booking missing/duplicate",IF(INDEX('Bookings'!$O$6:$O$205,MATCH(B108,'Bookings'!$A$6:$A$205,0))="","Not set",INDEX('Bookings'!$O$6:$O$205,MATCH(B108,'Bookings'!$A$6:$A$205,0)))))</x:f>
      </x:c>
      <x:c r="K108" s="13" t="str">
        <x:f>IF(A108="","",IF(F108="Alcohol-inclusive",8,IF(F108="Non-alcoholic",0,"Set pass type")))</x:f>
      </x:c>
      <x:c r="L108" s="9"/>
      <x:c r="M108" s="13" t="str">
        <x:f>IF(A108="","",IF(ISNUMBER(K108),K108-L108,"Set pass type"))</x:f>
      </x:c>
      <x:c r="N108" s="13" t="str">
        <x:f>IF(A108="","",IF(COUNTIFS($A$6:$A$205,A108)&gt;1,"Duplicate ticket ID",IF(OR(B108="",J108="Booking missing/duplicate"),"Link a unique booking",IF(OR(C108="",D108="",E108="",F108=""),"Complete guest name, Instagram, phone and pass",IF(OR(L108&lt;0,L108&gt;8,L108&lt;&gt;INT(L108),AND(ISNUMBER(K108),L108&gt;K108)),"Invalid coupon redemption",IF(AND(H108="Checked in",OR(J108&lt;&gt;"Confirmed",G108&lt;&gt;"Verified at entry",I108="")),"Check payment, age and check-in time",""))))))</x:f>
      </x:c>
    </x:row>
    <x:row r="109" ht="22" customHeight="1">
      <x:c r="A109" s="9"/>
      <x:c r="B109" s="9"/>
      <x:c r="C109" s="9"/>
      <x:c r="D109" s="9"/>
      <x:c r="E109" s="19"/>
      <x:c r="F109" s="9"/>
      <x:c r="G109" s="9"/>
      <x:c r="H109" s="9"/>
      <x:c r="I109" s="18"/>
      <x:c r="J109" s="13" t="str">
        <x:f>IF(A109="","",IF(COUNTIFS('Bookings'!$A$6:$A$205,B109)&lt;&gt;1,"Booking missing/duplicate",IF(INDEX('Bookings'!$O$6:$O$205,MATCH(B109,'Bookings'!$A$6:$A$205,0))="","Not set",INDEX('Bookings'!$O$6:$O$205,MATCH(B109,'Bookings'!$A$6:$A$205,0)))))</x:f>
      </x:c>
      <x:c r="K109" s="13" t="str">
        <x:f>IF(A109="","",IF(F109="Alcohol-inclusive",8,IF(F109="Non-alcoholic",0,"Set pass type")))</x:f>
      </x:c>
      <x:c r="L109" s="9"/>
      <x:c r="M109" s="13" t="str">
        <x:f>IF(A109="","",IF(ISNUMBER(K109),K109-L109,"Set pass type"))</x:f>
      </x:c>
      <x:c r="N109" s="13" t="str">
        <x:f>IF(A109="","",IF(COUNTIFS($A$6:$A$205,A109)&gt;1,"Duplicate ticket ID",IF(OR(B109="",J109="Booking missing/duplicate"),"Link a unique booking",IF(OR(C109="",D109="",E109="",F109=""),"Complete guest name, Instagram, phone and pass",IF(OR(L109&lt;0,L109&gt;8,L109&lt;&gt;INT(L109),AND(ISNUMBER(K109),L109&gt;K109)),"Invalid coupon redemption",IF(AND(H109="Checked in",OR(J109&lt;&gt;"Confirmed",G109&lt;&gt;"Verified at entry",I109="")),"Check payment, age and check-in time",""))))))</x:f>
      </x:c>
    </x:row>
    <x:row r="110" ht="22" customHeight="1">
      <x:c r="A110" s="9"/>
      <x:c r="B110" s="9"/>
      <x:c r="C110" s="9"/>
      <x:c r="D110" s="9"/>
      <x:c r="E110" s="19"/>
      <x:c r="F110" s="9"/>
      <x:c r="G110" s="9"/>
      <x:c r="H110" s="9"/>
      <x:c r="I110" s="18"/>
      <x:c r="J110" s="13" t="str">
        <x:f>IF(A110="","",IF(COUNTIFS('Bookings'!$A$6:$A$205,B110)&lt;&gt;1,"Booking missing/duplicate",IF(INDEX('Bookings'!$O$6:$O$205,MATCH(B110,'Bookings'!$A$6:$A$205,0))="","Not set",INDEX('Bookings'!$O$6:$O$205,MATCH(B110,'Bookings'!$A$6:$A$205,0)))))</x:f>
      </x:c>
      <x:c r="K110" s="13" t="str">
        <x:f>IF(A110="","",IF(F110="Alcohol-inclusive",8,IF(F110="Non-alcoholic",0,"Set pass type")))</x:f>
      </x:c>
      <x:c r="L110" s="9"/>
      <x:c r="M110" s="13" t="str">
        <x:f>IF(A110="","",IF(ISNUMBER(K110),K110-L110,"Set pass type"))</x:f>
      </x:c>
      <x:c r="N110" s="13" t="str">
        <x:f>IF(A110="","",IF(COUNTIFS($A$6:$A$205,A110)&gt;1,"Duplicate ticket ID",IF(OR(B110="",J110="Booking missing/duplicate"),"Link a unique booking",IF(OR(C110="",D110="",E110="",F110=""),"Complete guest name, Instagram, phone and pass",IF(OR(L110&lt;0,L110&gt;8,L110&lt;&gt;INT(L110),AND(ISNUMBER(K110),L110&gt;K110)),"Invalid coupon redemption",IF(AND(H110="Checked in",OR(J110&lt;&gt;"Confirmed",G110&lt;&gt;"Verified at entry",I110="")),"Check payment, age and check-in time",""))))))</x:f>
      </x:c>
    </x:row>
    <x:row r="111" ht="22" customHeight="1">
      <x:c r="A111" s="9"/>
      <x:c r="B111" s="9"/>
      <x:c r="C111" s="9"/>
      <x:c r="D111" s="9"/>
      <x:c r="E111" s="19"/>
      <x:c r="F111" s="9"/>
      <x:c r="G111" s="9"/>
      <x:c r="H111" s="9"/>
      <x:c r="I111" s="18"/>
      <x:c r="J111" s="13" t="str">
        <x:f>IF(A111="","",IF(COUNTIFS('Bookings'!$A$6:$A$205,B111)&lt;&gt;1,"Booking missing/duplicate",IF(INDEX('Bookings'!$O$6:$O$205,MATCH(B111,'Bookings'!$A$6:$A$205,0))="","Not set",INDEX('Bookings'!$O$6:$O$205,MATCH(B111,'Bookings'!$A$6:$A$205,0)))))</x:f>
      </x:c>
      <x:c r="K111" s="13" t="str">
        <x:f>IF(A111="","",IF(F111="Alcohol-inclusive",8,IF(F111="Non-alcoholic",0,"Set pass type")))</x:f>
      </x:c>
      <x:c r="L111" s="9"/>
      <x:c r="M111" s="13" t="str">
        <x:f>IF(A111="","",IF(ISNUMBER(K111),K111-L111,"Set pass type"))</x:f>
      </x:c>
      <x:c r="N111" s="13" t="str">
        <x:f>IF(A111="","",IF(COUNTIFS($A$6:$A$205,A111)&gt;1,"Duplicate ticket ID",IF(OR(B111="",J111="Booking missing/duplicate"),"Link a unique booking",IF(OR(C111="",D111="",E111="",F111=""),"Complete guest name, Instagram, phone and pass",IF(OR(L111&lt;0,L111&gt;8,L111&lt;&gt;INT(L111),AND(ISNUMBER(K111),L111&gt;K111)),"Invalid coupon redemption",IF(AND(H111="Checked in",OR(J111&lt;&gt;"Confirmed",G111&lt;&gt;"Verified at entry",I111="")),"Check payment, age and check-in time",""))))))</x:f>
      </x:c>
    </x:row>
    <x:row r="112" ht="22" customHeight="1">
      <x:c r="A112" s="9"/>
      <x:c r="B112" s="9"/>
      <x:c r="C112" s="9"/>
      <x:c r="D112" s="9"/>
      <x:c r="E112" s="19"/>
      <x:c r="F112" s="9"/>
      <x:c r="G112" s="9"/>
      <x:c r="H112" s="9"/>
      <x:c r="I112" s="18"/>
      <x:c r="J112" s="13" t="str">
        <x:f>IF(A112="","",IF(COUNTIFS('Bookings'!$A$6:$A$205,B112)&lt;&gt;1,"Booking missing/duplicate",IF(INDEX('Bookings'!$O$6:$O$205,MATCH(B112,'Bookings'!$A$6:$A$205,0))="","Not set",INDEX('Bookings'!$O$6:$O$205,MATCH(B112,'Bookings'!$A$6:$A$205,0)))))</x:f>
      </x:c>
      <x:c r="K112" s="13" t="str">
        <x:f>IF(A112="","",IF(F112="Alcohol-inclusive",8,IF(F112="Non-alcoholic",0,"Set pass type")))</x:f>
      </x:c>
      <x:c r="L112" s="9"/>
      <x:c r="M112" s="13" t="str">
        <x:f>IF(A112="","",IF(ISNUMBER(K112),K112-L112,"Set pass type"))</x:f>
      </x:c>
      <x:c r="N112" s="13" t="str">
        <x:f>IF(A112="","",IF(COUNTIFS($A$6:$A$205,A112)&gt;1,"Duplicate ticket ID",IF(OR(B112="",J112="Booking missing/duplicate"),"Link a unique booking",IF(OR(C112="",D112="",E112="",F112=""),"Complete guest name, Instagram, phone and pass",IF(OR(L112&lt;0,L112&gt;8,L112&lt;&gt;INT(L112),AND(ISNUMBER(K112),L112&gt;K112)),"Invalid coupon redemption",IF(AND(H112="Checked in",OR(J112&lt;&gt;"Confirmed",G112&lt;&gt;"Verified at entry",I112="")),"Check payment, age and check-in time",""))))))</x:f>
      </x:c>
    </x:row>
    <x:row r="113" ht="22" customHeight="1">
      <x:c r="A113" s="9"/>
      <x:c r="B113" s="9"/>
      <x:c r="C113" s="9"/>
      <x:c r="D113" s="9"/>
      <x:c r="E113" s="19"/>
      <x:c r="F113" s="9"/>
      <x:c r="G113" s="9"/>
      <x:c r="H113" s="9"/>
      <x:c r="I113" s="18"/>
      <x:c r="J113" s="13" t="str">
        <x:f>IF(A113="","",IF(COUNTIFS('Bookings'!$A$6:$A$205,B113)&lt;&gt;1,"Booking missing/duplicate",IF(INDEX('Bookings'!$O$6:$O$205,MATCH(B113,'Bookings'!$A$6:$A$205,0))="","Not set",INDEX('Bookings'!$O$6:$O$205,MATCH(B113,'Bookings'!$A$6:$A$205,0)))))</x:f>
      </x:c>
      <x:c r="K113" s="13" t="str">
        <x:f>IF(A113="","",IF(F113="Alcohol-inclusive",8,IF(F113="Non-alcoholic",0,"Set pass type")))</x:f>
      </x:c>
      <x:c r="L113" s="9"/>
      <x:c r="M113" s="13" t="str">
        <x:f>IF(A113="","",IF(ISNUMBER(K113),K113-L113,"Set pass type"))</x:f>
      </x:c>
      <x:c r="N113" s="13" t="str">
        <x:f>IF(A113="","",IF(COUNTIFS($A$6:$A$205,A113)&gt;1,"Duplicate ticket ID",IF(OR(B113="",J113="Booking missing/duplicate"),"Link a unique booking",IF(OR(C113="",D113="",E113="",F113=""),"Complete guest name, Instagram, phone and pass",IF(OR(L113&lt;0,L113&gt;8,L113&lt;&gt;INT(L113),AND(ISNUMBER(K113),L113&gt;K113)),"Invalid coupon redemption",IF(AND(H113="Checked in",OR(J113&lt;&gt;"Confirmed",G113&lt;&gt;"Verified at entry",I113="")),"Check payment, age and check-in time",""))))))</x:f>
      </x:c>
    </x:row>
    <x:row r="114" ht="22" customHeight="1">
      <x:c r="A114" s="9"/>
      <x:c r="B114" s="9"/>
      <x:c r="C114" s="9"/>
      <x:c r="D114" s="9"/>
      <x:c r="E114" s="19"/>
      <x:c r="F114" s="9"/>
      <x:c r="G114" s="9"/>
      <x:c r="H114" s="9"/>
      <x:c r="I114" s="18"/>
      <x:c r="J114" s="13" t="str">
        <x:f>IF(A114="","",IF(COUNTIFS('Bookings'!$A$6:$A$205,B114)&lt;&gt;1,"Booking missing/duplicate",IF(INDEX('Bookings'!$O$6:$O$205,MATCH(B114,'Bookings'!$A$6:$A$205,0))="","Not set",INDEX('Bookings'!$O$6:$O$205,MATCH(B114,'Bookings'!$A$6:$A$205,0)))))</x:f>
      </x:c>
      <x:c r="K114" s="13" t="str">
        <x:f>IF(A114="","",IF(F114="Alcohol-inclusive",8,IF(F114="Non-alcoholic",0,"Set pass type")))</x:f>
      </x:c>
      <x:c r="L114" s="9"/>
      <x:c r="M114" s="13" t="str">
        <x:f>IF(A114="","",IF(ISNUMBER(K114),K114-L114,"Set pass type"))</x:f>
      </x:c>
      <x:c r="N114" s="13" t="str">
        <x:f>IF(A114="","",IF(COUNTIFS($A$6:$A$205,A114)&gt;1,"Duplicate ticket ID",IF(OR(B114="",J114="Booking missing/duplicate"),"Link a unique booking",IF(OR(C114="",D114="",E114="",F114=""),"Complete guest name, Instagram, phone and pass",IF(OR(L114&lt;0,L114&gt;8,L114&lt;&gt;INT(L114),AND(ISNUMBER(K114),L114&gt;K114)),"Invalid coupon redemption",IF(AND(H114="Checked in",OR(J114&lt;&gt;"Confirmed",G114&lt;&gt;"Verified at entry",I114="")),"Check payment, age and check-in time",""))))))</x:f>
      </x:c>
    </x:row>
    <x:row r="115" ht="22" customHeight="1">
      <x:c r="A115" s="9"/>
      <x:c r="B115" s="9"/>
      <x:c r="C115" s="9"/>
      <x:c r="D115" s="9"/>
      <x:c r="E115" s="19"/>
      <x:c r="F115" s="9"/>
      <x:c r="G115" s="9"/>
      <x:c r="H115" s="9"/>
      <x:c r="I115" s="18"/>
      <x:c r="J115" s="13" t="str">
        <x:f>IF(A115="","",IF(COUNTIFS('Bookings'!$A$6:$A$205,B115)&lt;&gt;1,"Booking missing/duplicate",IF(INDEX('Bookings'!$O$6:$O$205,MATCH(B115,'Bookings'!$A$6:$A$205,0))="","Not set",INDEX('Bookings'!$O$6:$O$205,MATCH(B115,'Bookings'!$A$6:$A$205,0)))))</x:f>
      </x:c>
      <x:c r="K115" s="13" t="str">
        <x:f>IF(A115="","",IF(F115="Alcohol-inclusive",8,IF(F115="Non-alcoholic",0,"Set pass type")))</x:f>
      </x:c>
      <x:c r="L115" s="9"/>
      <x:c r="M115" s="13" t="str">
        <x:f>IF(A115="","",IF(ISNUMBER(K115),K115-L115,"Set pass type"))</x:f>
      </x:c>
      <x:c r="N115" s="13" t="str">
        <x:f>IF(A115="","",IF(COUNTIFS($A$6:$A$205,A115)&gt;1,"Duplicate ticket ID",IF(OR(B115="",J115="Booking missing/duplicate"),"Link a unique booking",IF(OR(C115="",D115="",E115="",F115=""),"Complete guest name, Instagram, phone and pass",IF(OR(L115&lt;0,L115&gt;8,L115&lt;&gt;INT(L115),AND(ISNUMBER(K115),L115&gt;K115)),"Invalid coupon redemption",IF(AND(H115="Checked in",OR(J115&lt;&gt;"Confirmed",G115&lt;&gt;"Verified at entry",I115="")),"Check payment, age and check-in time",""))))))</x:f>
      </x:c>
    </x:row>
    <x:row r="116" ht="22" customHeight="1">
      <x:c r="A116" s="9"/>
      <x:c r="B116" s="9"/>
      <x:c r="C116" s="9"/>
      <x:c r="D116" s="9"/>
      <x:c r="E116" s="19"/>
      <x:c r="F116" s="9"/>
      <x:c r="G116" s="9"/>
      <x:c r="H116" s="9"/>
      <x:c r="I116" s="18"/>
      <x:c r="J116" s="13" t="str">
        <x:f>IF(A116="","",IF(COUNTIFS('Bookings'!$A$6:$A$205,B116)&lt;&gt;1,"Booking missing/duplicate",IF(INDEX('Bookings'!$O$6:$O$205,MATCH(B116,'Bookings'!$A$6:$A$205,0))="","Not set",INDEX('Bookings'!$O$6:$O$205,MATCH(B116,'Bookings'!$A$6:$A$205,0)))))</x:f>
      </x:c>
      <x:c r="K116" s="13" t="str">
        <x:f>IF(A116="","",IF(F116="Alcohol-inclusive",8,IF(F116="Non-alcoholic",0,"Set pass type")))</x:f>
      </x:c>
      <x:c r="L116" s="9"/>
      <x:c r="M116" s="13" t="str">
        <x:f>IF(A116="","",IF(ISNUMBER(K116),K116-L116,"Set pass type"))</x:f>
      </x:c>
      <x:c r="N116" s="13" t="str">
        <x:f>IF(A116="","",IF(COUNTIFS($A$6:$A$205,A116)&gt;1,"Duplicate ticket ID",IF(OR(B116="",J116="Booking missing/duplicate"),"Link a unique booking",IF(OR(C116="",D116="",E116="",F116=""),"Complete guest name, Instagram, phone and pass",IF(OR(L116&lt;0,L116&gt;8,L116&lt;&gt;INT(L116),AND(ISNUMBER(K116),L116&gt;K116)),"Invalid coupon redemption",IF(AND(H116="Checked in",OR(J116&lt;&gt;"Confirmed",G116&lt;&gt;"Verified at entry",I116="")),"Check payment, age and check-in time",""))))))</x:f>
      </x:c>
    </x:row>
    <x:row r="117" ht="22" customHeight="1">
      <x:c r="A117" s="9"/>
      <x:c r="B117" s="9"/>
      <x:c r="C117" s="9"/>
      <x:c r="D117" s="9"/>
      <x:c r="E117" s="19"/>
      <x:c r="F117" s="9"/>
      <x:c r="G117" s="9"/>
      <x:c r="H117" s="9"/>
      <x:c r="I117" s="18"/>
      <x:c r="J117" s="13" t="str">
        <x:f>IF(A117="","",IF(COUNTIFS('Bookings'!$A$6:$A$205,B117)&lt;&gt;1,"Booking missing/duplicate",IF(INDEX('Bookings'!$O$6:$O$205,MATCH(B117,'Bookings'!$A$6:$A$205,0))="","Not set",INDEX('Bookings'!$O$6:$O$205,MATCH(B117,'Bookings'!$A$6:$A$205,0)))))</x:f>
      </x:c>
      <x:c r="K117" s="13" t="str">
        <x:f>IF(A117="","",IF(F117="Alcohol-inclusive",8,IF(F117="Non-alcoholic",0,"Set pass type")))</x:f>
      </x:c>
      <x:c r="L117" s="9"/>
      <x:c r="M117" s="13" t="str">
        <x:f>IF(A117="","",IF(ISNUMBER(K117),K117-L117,"Set pass type"))</x:f>
      </x:c>
      <x:c r="N117" s="13" t="str">
        <x:f>IF(A117="","",IF(COUNTIFS($A$6:$A$205,A117)&gt;1,"Duplicate ticket ID",IF(OR(B117="",J117="Booking missing/duplicate"),"Link a unique booking",IF(OR(C117="",D117="",E117="",F117=""),"Complete guest name, Instagram, phone and pass",IF(OR(L117&lt;0,L117&gt;8,L117&lt;&gt;INT(L117),AND(ISNUMBER(K117),L117&gt;K117)),"Invalid coupon redemption",IF(AND(H117="Checked in",OR(J117&lt;&gt;"Confirmed",G117&lt;&gt;"Verified at entry",I117="")),"Check payment, age and check-in time",""))))))</x:f>
      </x:c>
    </x:row>
    <x:row r="118" ht="22" customHeight="1">
      <x:c r="A118" s="9"/>
      <x:c r="B118" s="9"/>
      <x:c r="C118" s="9"/>
      <x:c r="D118" s="9"/>
      <x:c r="E118" s="19"/>
      <x:c r="F118" s="9"/>
      <x:c r="G118" s="9"/>
      <x:c r="H118" s="9"/>
      <x:c r="I118" s="18"/>
      <x:c r="J118" s="13" t="str">
        <x:f>IF(A118="","",IF(COUNTIFS('Bookings'!$A$6:$A$205,B118)&lt;&gt;1,"Booking missing/duplicate",IF(INDEX('Bookings'!$O$6:$O$205,MATCH(B118,'Bookings'!$A$6:$A$205,0))="","Not set",INDEX('Bookings'!$O$6:$O$205,MATCH(B118,'Bookings'!$A$6:$A$205,0)))))</x:f>
      </x:c>
      <x:c r="K118" s="13" t="str">
        <x:f>IF(A118="","",IF(F118="Alcohol-inclusive",8,IF(F118="Non-alcoholic",0,"Set pass type")))</x:f>
      </x:c>
      <x:c r="L118" s="9"/>
      <x:c r="M118" s="13" t="str">
        <x:f>IF(A118="","",IF(ISNUMBER(K118),K118-L118,"Set pass type"))</x:f>
      </x:c>
      <x:c r="N118" s="13" t="str">
        <x:f>IF(A118="","",IF(COUNTIFS($A$6:$A$205,A118)&gt;1,"Duplicate ticket ID",IF(OR(B118="",J118="Booking missing/duplicate"),"Link a unique booking",IF(OR(C118="",D118="",E118="",F118=""),"Complete guest name, Instagram, phone and pass",IF(OR(L118&lt;0,L118&gt;8,L118&lt;&gt;INT(L118),AND(ISNUMBER(K118),L118&gt;K118)),"Invalid coupon redemption",IF(AND(H118="Checked in",OR(J118&lt;&gt;"Confirmed",G118&lt;&gt;"Verified at entry",I118="")),"Check payment, age and check-in time",""))))))</x:f>
      </x:c>
    </x:row>
    <x:row r="119" ht="22" customHeight="1">
      <x:c r="A119" s="9"/>
      <x:c r="B119" s="9"/>
      <x:c r="C119" s="9"/>
      <x:c r="D119" s="9"/>
      <x:c r="E119" s="19"/>
      <x:c r="F119" s="9"/>
      <x:c r="G119" s="9"/>
      <x:c r="H119" s="9"/>
      <x:c r="I119" s="18"/>
      <x:c r="J119" s="13" t="str">
        <x:f>IF(A119="","",IF(COUNTIFS('Bookings'!$A$6:$A$205,B119)&lt;&gt;1,"Booking missing/duplicate",IF(INDEX('Bookings'!$O$6:$O$205,MATCH(B119,'Bookings'!$A$6:$A$205,0))="","Not set",INDEX('Bookings'!$O$6:$O$205,MATCH(B119,'Bookings'!$A$6:$A$205,0)))))</x:f>
      </x:c>
      <x:c r="K119" s="13" t="str">
        <x:f>IF(A119="","",IF(F119="Alcohol-inclusive",8,IF(F119="Non-alcoholic",0,"Set pass type")))</x:f>
      </x:c>
      <x:c r="L119" s="9"/>
      <x:c r="M119" s="13" t="str">
        <x:f>IF(A119="","",IF(ISNUMBER(K119),K119-L119,"Set pass type"))</x:f>
      </x:c>
      <x:c r="N119" s="13" t="str">
        <x:f>IF(A119="","",IF(COUNTIFS($A$6:$A$205,A119)&gt;1,"Duplicate ticket ID",IF(OR(B119="",J119="Booking missing/duplicate"),"Link a unique booking",IF(OR(C119="",D119="",E119="",F119=""),"Complete guest name, Instagram, phone and pass",IF(OR(L119&lt;0,L119&gt;8,L119&lt;&gt;INT(L119),AND(ISNUMBER(K119),L119&gt;K119)),"Invalid coupon redemption",IF(AND(H119="Checked in",OR(J119&lt;&gt;"Confirmed",G119&lt;&gt;"Verified at entry",I119="")),"Check payment, age and check-in time",""))))))</x:f>
      </x:c>
    </x:row>
    <x:row r="120" ht="22" customHeight="1">
      <x:c r="A120" s="9"/>
      <x:c r="B120" s="9"/>
      <x:c r="C120" s="9"/>
      <x:c r="D120" s="9"/>
      <x:c r="E120" s="19"/>
      <x:c r="F120" s="9"/>
      <x:c r="G120" s="9"/>
      <x:c r="H120" s="9"/>
      <x:c r="I120" s="18"/>
      <x:c r="J120" s="13" t="str">
        <x:f>IF(A120="","",IF(COUNTIFS('Bookings'!$A$6:$A$205,B120)&lt;&gt;1,"Booking missing/duplicate",IF(INDEX('Bookings'!$O$6:$O$205,MATCH(B120,'Bookings'!$A$6:$A$205,0))="","Not set",INDEX('Bookings'!$O$6:$O$205,MATCH(B120,'Bookings'!$A$6:$A$205,0)))))</x:f>
      </x:c>
      <x:c r="K120" s="13" t="str">
        <x:f>IF(A120="","",IF(F120="Alcohol-inclusive",8,IF(F120="Non-alcoholic",0,"Set pass type")))</x:f>
      </x:c>
      <x:c r="L120" s="9"/>
      <x:c r="M120" s="13" t="str">
        <x:f>IF(A120="","",IF(ISNUMBER(K120),K120-L120,"Set pass type"))</x:f>
      </x:c>
      <x:c r="N120" s="13" t="str">
        <x:f>IF(A120="","",IF(COUNTIFS($A$6:$A$205,A120)&gt;1,"Duplicate ticket ID",IF(OR(B120="",J120="Booking missing/duplicate"),"Link a unique booking",IF(OR(C120="",D120="",E120="",F120=""),"Complete guest name, Instagram, phone and pass",IF(OR(L120&lt;0,L120&gt;8,L120&lt;&gt;INT(L120),AND(ISNUMBER(K120),L120&gt;K120)),"Invalid coupon redemption",IF(AND(H120="Checked in",OR(J120&lt;&gt;"Confirmed",G120&lt;&gt;"Verified at entry",I120="")),"Check payment, age and check-in time",""))))))</x:f>
      </x:c>
    </x:row>
    <x:row r="121" ht="22" customHeight="1">
      <x:c r="A121" s="9"/>
      <x:c r="B121" s="9"/>
      <x:c r="C121" s="9"/>
      <x:c r="D121" s="9"/>
      <x:c r="E121" s="19"/>
      <x:c r="F121" s="9"/>
      <x:c r="G121" s="9"/>
      <x:c r="H121" s="9"/>
      <x:c r="I121" s="18"/>
      <x:c r="J121" s="13" t="str">
        <x:f>IF(A121="","",IF(COUNTIFS('Bookings'!$A$6:$A$205,B121)&lt;&gt;1,"Booking missing/duplicate",IF(INDEX('Bookings'!$O$6:$O$205,MATCH(B121,'Bookings'!$A$6:$A$205,0))="","Not set",INDEX('Bookings'!$O$6:$O$205,MATCH(B121,'Bookings'!$A$6:$A$205,0)))))</x:f>
      </x:c>
      <x:c r="K121" s="13" t="str">
        <x:f>IF(A121="","",IF(F121="Alcohol-inclusive",8,IF(F121="Non-alcoholic",0,"Set pass type")))</x:f>
      </x:c>
      <x:c r="L121" s="9"/>
      <x:c r="M121" s="13" t="str">
        <x:f>IF(A121="","",IF(ISNUMBER(K121),K121-L121,"Set pass type"))</x:f>
      </x:c>
      <x:c r="N121" s="13" t="str">
        <x:f>IF(A121="","",IF(COUNTIFS($A$6:$A$205,A121)&gt;1,"Duplicate ticket ID",IF(OR(B121="",J121="Booking missing/duplicate"),"Link a unique booking",IF(OR(C121="",D121="",E121="",F121=""),"Complete guest name, Instagram, phone and pass",IF(OR(L121&lt;0,L121&gt;8,L121&lt;&gt;INT(L121),AND(ISNUMBER(K121),L121&gt;K121)),"Invalid coupon redemption",IF(AND(H121="Checked in",OR(J121&lt;&gt;"Confirmed",G121&lt;&gt;"Verified at entry",I121="")),"Check payment, age and check-in time",""))))))</x:f>
      </x:c>
    </x:row>
    <x:row r="122" ht="22" customHeight="1">
      <x:c r="A122" s="9"/>
      <x:c r="B122" s="9"/>
      <x:c r="C122" s="9"/>
      <x:c r="D122" s="9"/>
      <x:c r="E122" s="19"/>
      <x:c r="F122" s="9"/>
      <x:c r="G122" s="9"/>
      <x:c r="H122" s="9"/>
      <x:c r="I122" s="18"/>
      <x:c r="J122" s="13" t="str">
        <x:f>IF(A122="","",IF(COUNTIFS('Bookings'!$A$6:$A$205,B122)&lt;&gt;1,"Booking missing/duplicate",IF(INDEX('Bookings'!$O$6:$O$205,MATCH(B122,'Bookings'!$A$6:$A$205,0))="","Not set",INDEX('Bookings'!$O$6:$O$205,MATCH(B122,'Bookings'!$A$6:$A$205,0)))))</x:f>
      </x:c>
      <x:c r="K122" s="13" t="str">
        <x:f>IF(A122="","",IF(F122="Alcohol-inclusive",8,IF(F122="Non-alcoholic",0,"Set pass type")))</x:f>
      </x:c>
      <x:c r="L122" s="9"/>
      <x:c r="M122" s="13" t="str">
        <x:f>IF(A122="","",IF(ISNUMBER(K122),K122-L122,"Set pass type"))</x:f>
      </x:c>
      <x:c r="N122" s="13" t="str">
        <x:f>IF(A122="","",IF(COUNTIFS($A$6:$A$205,A122)&gt;1,"Duplicate ticket ID",IF(OR(B122="",J122="Booking missing/duplicate"),"Link a unique booking",IF(OR(C122="",D122="",E122="",F122=""),"Complete guest name, Instagram, phone and pass",IF(OR(L122&lt;0,L122&gt;8,L122&lt;&gt;INT(L122),AND(ISNUMBER(K122),L122&gt;K122)),"Invalid coupon redemption",IF(AND(H122="Checked in",OR(J122&lt;&gt;"Confirmed",G122&lt;&gt;"Verified at entry",I122="")),"Check payment, age and check-in time",""))))))</x:f>
      </x:c>
    </x:row>
    <x:row r="123" ht="22" customHeight="1">
      <x:c r="A123" s="9"/>
      <x:c r="B123" s="9"/>
      <x:c r="C123" s="9"/>
      <x:c r="D123" s="9"/>
      <x:c r="E123" s="19"/>
      <x:c r="F123" s="9"/>
      <x:c r="G123" s="9"/>
      <x:c r="H123" s="9"/>
      <x:c r="I123" s="18"/>
      <x:c r="J123" s="13" t="str">
        <x:f>IF(A123="","",IF(COUNTIFS('Bookings'!$A$6:$A$205,B123)&lt;&gt;1,"Booking missing/duplicate",IF(INDEX('Bookings'!$O$6:$O$205,MATCH(B123,'Bookings'!$A$6:$A$205,0))="","Not set",INDEX('Bookings'!$O$6:$O$205,MATCH(B123,'Bookings'!$A$6:$A$205,0)))))</x:f>
      </x:c>
      <x:c r="K123" s="13" t="str">
        <x:f>IF(A123="","",IF(F123="Alcohol-inclusive",8,IF(F123="Non-alcoholic",0,"Set pass type")))</x:f>
      </x:c>
      <x:c r="L123" s="9"/>
      <x:c r="M123" s="13" t="str">
        <x:f>IF(A123="","",IF(ISNUMBER(K123),K123-L123,"Set pass type"))</x:f>
      </x:c>
      <x:c r="N123" s="13" t="str">
        <x:f>IF(A123="","",IF(COUNTIFS($A$6:$A$205,A123)&gt;1,"Duplicate ticket ID",IF(OR(B123="",J123="Booking missing/duplicate"),"Link a unique booking",IF(OR(C123="",D123="",E123="",F123=""),"Complete guest name, Instagram, phone and pass",IF(OR(L123&lt;0,L123&gt;8,L123&lt;&gt;INT(L123),AND(ISNUMBER(K123),L123&gt;K123)),"Invalid coupon redemption",IF(AND(H123="Checked in",OR(J123&lt;&gt;"Confirmed",G123&lt;&gt;"Verified at entry",I123="")),"Check payment, age and check-in time",""))))))</x:f>
      </x:c>
    </x:row>
    <x:row r="124" ht="22" customHeight="1">
      <x:c r="A124" s="9"/>
      <x:c r="B124" s="9"/>
      <x:c r="C124" s="9"/>
      <x:c r="D124" s="9"/>
      <x:c r="E124" s="19"/>
      <x:c r="F124" s="9"/>
      <x:c r="G124" s="9"/>
      <x:c r="H124" s="9"/>
      <x:c r="I124" s="18"/>
      <x:c r="J124" s="13" t="str">
        <x:f>IF(A124="","",IF(COUNTIFS('Bookings'!$A$6:$A$205,B124)&lt;&gt;1,"Booking missing/duplicate",IF(INDEX('Bookings'!$O$6:$O$205,MATCH(B124,'Bookings'!$A$6:$A$205,0))="","Not set",INDEX('Bookings'!$O$6:$O$205,MATCH(B124,'Bookings'!$A$6:$A$205,0)))))</x:f>
      </x:c>
      <x:c r="K124" s="13" t="str">
        <x:f>IF(A124="","",IF(F124="Alcohol-inclusive",8,IF(F124="Non-alcoholic",0,"Set pass type")))</x:f>
      </x:c>
      <x:c r="L124" s="9"/>
      <x:c r="M124" s="13" t="str">
        <x:f>IF(A124="","",IF(ISNUMBER(K124),K124-L124,"Set pass type"))</x:f>
      </x:c>
      <x:c r="N124" s="13" t="str">
        <x:f>IF(A124="","",IF(COUNTIFS($A$6:$A$205,A124)&gt;1,"Duplicate ticket ID",IF(OR(B124="",J124="Booking missing/duplicate"),"Link a unique booking",IF(OR(C124="",D124="",E124="",F124=""),"Complete guest name, Instagram, phone and pass",IF(OR(L124&lt;0,L124&gt;8,L124&lt;&gt;INT(L124),AND(ISNUMBER(K124),L124&gt;K124)),"Invalid coupon redemption",IF(AND(H124="Checked in",OR(J124&lt;&gt;"Confirmed",G124&lt;&gt;"Verified at entry",I124="")),"Check payment, age and check-in time",""))))))</x:f>
      </x:c>
    </x:row>
    <x:row r="125" ht="22" customHeight="1">
      <x:c r="A125" s="9"/>
      <x:c r="B125" s="9"/>
      <x:c r="C125" s="9"/>
      <x:c r="D125" s="9"/>
      <x:c r="E125" s="19"/>
      <x:c r="F125" s="9"/>
      <x:c r="G125" s="9"/>
      <x:c r="H125" s="9"/>
      <x:c r="I125" s="18"/>
      <x:c r="J125" s="13" t="str">
        <x:f>IF(A125="","",IF(COUNTIFS('Bookings'!$A$6:$A$205,B125)&lt;&gt;1,"Booking missing/duplicate",IF(INDEX('Bookings'!$O$6:$O$205,MATCH(B125,'Bookings'!$A$6:$A$205,0))="","Not set",INDEX('Bookings'!$O$6:$O$205,MATCH(B125,'Bookings'!$A$6:$A$205,0)))))</x:f>
      </x:c>
      <x:c r="K125" s="13" t="str">
        <x:f>IF(A125="","",IF(F125="Alcohol-inclusive",8,IF(F125="Non-alcoholic",0,"Set pass type")))</x:f>
      </x:c>
      <x:c r="L125" s="9"/>
      <x:c r="M125" s="13" t="str">
        <x:f>IF(A125="","",IF(ISNUMBER(K125),K125-L125,"Set pass type"))</x:f>
      </x:c>
      <x:c r="N125" s="13" t="str">
        <x:f>IF(A125="","",IF(COUNTIFS($A$6:$A$205,A125)&gt;1,"Duplicate ticket ID",IF(OR(B125="",J125="Booking missing/duplicate"),"Link a unique booking",IF(OR(C125="",D125="",E125="",F125=""),"Complete guest name, Instagram, phone and pass",IF(OR(L125&lt;0,L125&gt;8,L125&lt;&gt;INT(L125),AND(ISNUMBER(K125),L125&gt;K125)),"Invalid coupon redemption",IF(AND(H125="Checked in",OR(J125&lt;&gt;"Confirmed",G125&lt;&gt;"Verified at entry",I125="")),"Check payment, age and check-in time",""))))))</x:f>
      </x:c>
    </x:row>
    <x:row r="126" ht="22" customHeight="1">
      <x:c r="A126" s="9"/>
      <x:c r="B126" s="9"/>
      <x:c r="C126" s="9"/>
      <x:c r="D126" s="9"/>
      <x:c r="E126" s="19"/>
      <x:c r="F126" s="9"/>
      <x:c r="G126" s="9"/>
      <x:c r="H126" s="9"/>
      <x:c r="I126" s="18"/>
      <x:c r="J126" s="13" t="str">
        <x:f>IF(A126="","",IF(COUNTIFS('Bookings'!$A$6:$A$205,B126)&lt;&gt;1,"Booking missing/duplicate",IF(INDEX('Bookings'!$O$6:$O$205,MATCH(B126,'Bookings'!$A$6:$A$205,0))="","Not set",INDEX('Bookings'!$O$6:$O$205,MATCH(B126,'Bookings'!$A$6:$A$205,0)))))</x:f>
      </x:c>
      <x:c r="K126" s="13" t="str">
        <x:f>IF(A126="","",IF(F126="Alcohol-inclusive",8,IF(F126="Non-alcoholic",0,"Set pass type")))</x:f>
      </x:c>
      <x:c r="L126" s="9"/>
      <x:c r="M126" s="13" t="str">
        <x:f>IF(A126="","",IF(ISNUMBER(K126),K126-L126,"Set pass type"))</x:f>
      </x:c>
      <x:c r="N126" s="13" t="str">
        <x:f>IF(A126="","",IF(COUNTIFS($A$6:$A$205,A126)&gt;1,"Duplicate ticket ID",IF(OR(B126="",J126="Booking missing/duplicate"),"Link a unique booking",IF(OR(C126="",D126="",E126="",F126=""),"Complete guest name, Instagram, phone and pass",IF(OR(L126&lt;0,L126&gt;8,L126&lt;&gt;INT(L126),AND(ISNUMBER(K126),L126&gt;K126)),"Invalid coupon redemption",IF(AND(H126="Checked in",OR(J126&lt;&gt;"Confirmed",G126&lt;&gt;"Verified at entry",I126="")),"Check payment, age and check-in time",""))))))</x:f>
      </x:c>
    </x:row>
    <x:row r="127" ht="22" customHeight="1">
      <x:c r="A127" s="9"/>
      <x:c r="B127" s="9"/>
      <x:c r="C127" s="9"/>
      <x:c r="D127" s="9"/>
      <x:c r="E127" s="19"/>
      <x:c r="F127" s="9"/>
      <x:c r="G127" s="9"/>
      <x:c r="H127" s="9"/>
      <x:c r="I127" s="18"/>
      <x:c r="J127" s="13" t="str">
        <x:f>IF(A127="","",IF(COUNTIFS('Bookings'!$A$6:$A$205,B127)&lt;&gt;1,"Booking missing/duplicate",IF(INDEX('Bookings'!$O$6:$O$205,MATCH(B127,'Bookings'!$A$6:$A$205,0))="","Not set",INDEX('Bookings'!$O$6:$O$205,MATCH(B127,'Bookings'!$A$6:$A$205,0)))))</x:f>
      </x:c>
      <x:c r="K127" s="13" t="str">
        <x:f>IF(A127="","",IF(F127="Alcohol-inclusive",8,IF(F127="Non-alcoholic",0,"Set pass type")))</x:f>
      </x:c>
      <x:c r="L127" s="9"/>
      <x:c r="M127" s="13" t="str">
        <x:f>IF(A127="","",IF(ISNUMBER(K127),K127-L127,"Set pass type"))</x:f>
      </x:c>
      <x:c r="N127" s="13" t="str">
        <x:f>IF(A127="","",IF(COUNTIFS($A$6:$A$205,A127)&gt;1,"Duplicate ticket ID",IF(OR(B127="",J127="Booking missing/duplicate"),"Link a unique booking",IF(OR(C127="",D127="",E127="",F127=""),"Complete guest name, Instagram, phone and pass",IF(OR(L127&lt;0,L127&gt;8,L127&lt;&gt;INT(L127),AND(ISNUMBER(K127),L127&gt;K127)),"Invalid coupon redemption",IF(AND(H127="Checked in",OR(J127&lt;&gt;"Confirmed",G127&lt;&gt;"Verified at entry",I127="")),"Check payment, age and check-in time",""))))))</x:f>
      </x:c>
    </x:row>
    <x:row r="128" ht="22" customHeight="1">
      <x:c r="A128" s="9"/>
      <x:c r="B128" s="9"/>
      <x:c r="C128" s="9"/>
      <x:c r="D128" s="9"/>
      <x:c r="E128" s="19"/>
      <x:c r="F128" s="9"/>
      <x:c r="G128" s="9"/>
      <x:c r="H128" s="9"/>
      <x:c r="I128" s="18"/>
      <x:c r="J128" s="13" t="str">
        <x:f>IF(A128="","",IF(COUNTIFS('Bookings'!$A$6:$A$205,B128)&lt;&gt;1,"Booking missing/duplicate",IF(INDEX('Bookings'!$O$6:$O$205,MATCH(B128,'Bookings'!$A$6:$A$205,0))="","Not set",INDEX('Bookings'!$O$6:$O$205,MATCH(B128,'Bookings'!$A$6:$A$205,0)))))</x:f>
      </x:c>
      <x:c r="K128" s="13" t="str">
        <x:f>IF(A128="","",IF(F128="Alcohol-inclusive",8,IF(F128="Non-alcoholic",0,"Set pass type")))</x:f>
      </x:c>
      <x:c r="L128" s="9"/>
      <x:c r="M128" s="13" t="str">
        <x:f>IF(A128="","",IF(ISNUMBER(K128),K128-L128,"Set pass type"))</x:f>
      </x:c>
      <x:c r="N128" s="13" t="str">
        <x:f>IF(A128="","",IF(COUNTIFS($A$6:$A$205,A128)&gt;1,"Duplicate ticket ID",IF(OR(B128="",J128="Booking missing/duplicate"),"Link a unique booking",IF(OR(C128="",D128="",E128="",F128=""),"Complete guest name, Instagram, phone and pass",IF(OR(L128&lt;0,L128&gt;8,L128&lt;&gt;INT(L128),AND(ISNUMBER(K128),L128&gt;K128)),"Invalid coupon redemption",IF(AND(H128="Checked in",OR(J128&lt;&gt;"Confirmed",G128&lt;&gt;"Verified at entry",I128="")),"Check payment, age and check-in time",""))))))</x:f>
      </x:c>
    </x:row>
    <x:row r="129" ht="22" customHeight="1">
      <x:c r="A129" s="9"/>
      <x:c r="B129" s="9"/>
      <x:c r="C129" s="9"/>
      <x:c r="D129" s="9"/>
      <x:c r="E129" s="19"/>
      <x:c r="F129" s="9"/>
      <x:c r="G129" s="9"/>
      <x:c r="H129" s="9"/>
      <x:c r="I129" s="18"/>
      <x:c r="J129" s="13" t="str">
        <x:f>IF(A129="","",IF(COUNTIFS('Bookings'!$A$6:$A$205,B129)&lt;&gt;1,"Booking missing/duplicate",IF(INDEX('Bookings'!$O$6:$O$205,MATCH(B129,'Bookings'!$A$6:$A$205,0))="","Not set",INDEX('Bookings'!$O$6:$O$205,MATCH(B129,'Bookings'!$A$6:$A$205,0)))))</x:f>
      </x:c>
      <x:c r="K129" s="13" t="str">
        <x:f>IF(A129="","",IF(F129="Alcohol-inclusive",8,IF(F129="Non-alcoholic",0,"Set pass type")))</x:f>
      </x:c>
      <x:c r="L129" s="9"/>
      <x:c r="M129" s="13" t="str">
        <x:f>IF(A129="","",IF(ISNUMBER(K129),K129-L129,"Set pass type"))</x:f>
      </x:c>
      <x:c r="N129" s="13" t="str">
        <x:f>IF(A129="","",IF(COUNTIFS($A$6:$A$205,A129)&gt;1,"Duplicate ticket ID",IF(OR(B129="",J129="Booking missing/duplicate"),"Link a unique booking",IF(OR(C129="",D129="",E129="",F129=""),"Complete guest name, Instagram, phone and pass",IF(OR(L129&lt;0,L129&gt;8,L129&lt;&gt;INT(L129),AND(ISNUMBER(K129),L129&gt;K129)),"Invalid coupon redemption",IF(AND(H129="Checked in",OR(J129&lt;&gt;"Confirmed",G129&lt;&gt;"Verified at entry",I129="")),"Check payment, age and check-in time",""))))))</x:f>
      </x:c>
    </x:row>
    <x:row r="130" ht="22" customHeight="1">
      <x:c r="A130" s="9"/>
      <x:c r="B130" s="9"/>
      <x:c r="C130" s="9"/>
      <x:c r="D130" s="9"/>
      <x:c r="E130" s="19"/>
      <x:c r="F130" s="9"/>
      <x:c r="G130" s="9"/>
      <x:c r="H130" s="9"/>
      <x:c r="I130" s="18"/>
      <x:c r="J130" s="13" t="str">
        <x:f>IF(A130="","",IF(COUNTIFS('Bookings'!$A$6:$A$205,B130)&lt;&gt;1,"Booking missing/duplicate",IF(INDEX('Bookings'!$O$6:$O$205,MATCH(B130,'Bookings'!$A$6:$A$205,0))="","Not set",INDEX('Bookings'!$O$6:$O$205,MATCH(B130,'Bookings'!$A$6:$A$205,0)))))</x:f>
      </x:c>
      <x:c r="K130" s="13" t="str">
        <x:f>IF(A130="","",IF(F130="Alcohol-inclusive",8,IF(F130="Non-alcoholic",0,"Set pass type")))</x:f>
      </x:c>
      <x:c r="L130" s="9"/>
      <x:c r="M130" s="13" t="str">
        <x:f>IF(A130="","",IF(ISNUMBER(K130),K130-L130,"Set pass type"))</x:f>
      </x:c>
      <x:c r="N130" s="13" t="str">
        <x:f>IF(A130="","",IF(COUNTIFS($A$6:$A$205,A130)&gt;1,"Duplicate ticket ID",IF(OR(B130="",J130="Booking missing/duplicate"),"Link a unique booking",IF(OR(C130="",D130="",E130="",F130=""),"Complete guest name, Instagram, phone and pass",IF(OR(L130&lt;0,L130&gt;8,L130&lt;&gt;INT(L130),AND(ISNUMBER(K130),L130&gt;K130)),"Invalid coupon redemption",IF(AND(H130="Checked in",OR(J130&lt;&gt;"Confirmed",G130&lt;&gt;"Verified at entry",I130="")),"Check payment, age and check-in time",""))))))</x:f>
      </x:c>
    </x:row>
    <x:row r="131" ht="22" customHeight="1">
      <x:c r="A131" s="9"/>
      <x:c r="B131" s="9"/>
      <x:c r="C131" s="9"/>
      <x:c r="D131" s="9"/>
      <x:c r="E131" s="19"/>
      <x:c r="F131" s="9"/>
      <x:c r="G131" s="9"/>
      <x:c r="H131" s="9"/>
      <x:c r="I131" s="18"/>
      <x:c r="J131" s="13" t="str">
        <x:f>IF(A131="","",IF(COUNTIFS('Bookings'!$A$6:$A$205,B131)&lt;&gt;1,"Booking missing/duplicate",IF(INDEX('Bookings'!$O$6:$O$205,MATCH(B131,'Bookings'!$A$6:$A$205,0))="","Not set",INDEX('Bookings'!$O$6:$O$205,MATCH(B131,'Bookings'!$A$6:$A$205,0)))))</x:f>
      </x:c>
      <x:c r="K131" s="13" t="str">
        <x:f>IF(A131="","",IF(F131="Alcohol-inclusive",8,IF(F131="Non-alcoholic",0,"Set pass type")))</x:f>
      </x:c>
      <x:c r="L131" s="9"/>
      <x:c r="M131" s="13" t="str">
        <x:f>IF(A131="","",IF(ISNUMBER(K131),K131-L131,"Set pass type"))</x:f>
      </x:c>
      <x:c r="N131" s="13" t="str">
        <x:f>IF(A131="","",IF(COUNTIFS($A$6:$A$205,A131)&gt;1,"Duplicate ticket ID",IF(OR(B131="",J131="Booking missing/duplicate"),"Link a unique booking",IF(OR(C131="",D131="",E131="",F131=""),"Complete guest name, Instagram, phone and pass",IF(OR(L131&lt;0,L131&gt;8,L131&lt;&gt;INT(L131),AND(ISNUMBER(K131),L131&gt;K131)),"Invalid coupon redemption",IF(AND(H131="Checked in",OR(J131&lt;&gt;"Confirmed",G131&lt;&gt;"Verified at entry",I131="")),"Check payment, age and check-in time",""))))))</x:f>
      </x:c>
    </x:row>
    <x:row r="132" ht="22" customHeight="1">
      <x:c r="A132" s="9"/>
      <x:c r="B132" s="9"/>
      <x:c r="C132" s="9"/>
      <x:c r="D132" s="9"/>
      <x:c r="E132" s="19"/>
      <x:c r="F132" s="9"/>
      <x:c r="G132" s="9"/>
      <x:c r="H132" s="9"/>
      <x:c r="I132" s="18"/>
      <x:c r="J132" s="13" t="str">
        <x:f>IF(A132="","",IF(COUNTIFS('Bookings'!$A$6:$A$205,B132)&lt;&gt;1,"Booking missing/duplicate",IF(INDEX('Bookings'!$O$6:$O$205,MATCH(B132,'Bookings'!$A$6:$A$205,0))="","Not set",INDEX('Bookings'!$O$6:$O$205,MATCH(B132,'Bookings'!$A$6:$A$205,0)))))</x:f>
      </x:c>
      <x:c r="K132" s="13" t="str">
        <x:f>IF(A132="","",IF(F132="Alcohol-inclusive",8,IF(F132="Non-alcoholic",0,"Set pass type")))</x:f>
      </x:c>
      <x:c r="L132" s="9"/>
      <x:c r="M132" s="13" t="str">
        <x:f>IF(A132="","",IF(ISNUMBER(K132),K132-L132,"Set pass type"))</x:f>
      </x:c>
      <x:c r="N132" s="13" t="str">
        <x:f>IF(A132="","",IF(COUNTIFS($A$6:$A$205,A132)&gt;1,"Duplicate ticket ID",IF(OR(B132="",J132="Booking missing/duplicate"),"Link a unique booking",IF(OR(C132="",D132="",E132="",F132=""),"Complete guest name, Instagram, phone and pass",IF(OR(L132&lt;0,L132&gt;8,L132&lt;&gt;INT(L132),AND(ISNUMBER(K132),L132&gt;K132)),"Invalid coupon redemption",IF(AND(H132="Checked in",OR(J132&lt;&gt;"Confirmed",G132&lt;&gt;"Verified at entry",I132="")),"Check payment, age and check-in time",""))))))</x:f>
      </x:c>
    </x:row>
    <x:row r="133" ht="22" customHeight="1">
      <x:c r="A133" s="9"/>
      <x:c r="B133" s="9"/>
      <x:c r="C133" s="9"/>
      <x:c r="D133" s="9"/>
      <x:c r="E133" s="19"/>
      <x:c r="F133" s="9"/>
      <x:c r="G133" s="9"/>
      <x:c r="H133" s="9"/>
      <x:c r="I133" s="18"/>
      <x:c r="J133" s="13" t="str">
        <x:f>IF(A133="","",IF(COUNTIFS('Bookings'!$A$6:$A$205,B133)&lt;&gt;1,"Booking missing/duplicate",IF(INDEX('Bookings'!$O$6:$O$205,MATCH(B133,'Bookings'!$A$6:$A$205,0))="","Not set",INDEX('Bookings'!$O$6:$O$205,MATCH(B133,'Bookings'!$A$6:$A$205,0)))))</x:f>
      </x:c>
      <x:c r="K133" s="13" t="str">
        <x:f>IF(A133="","",IF(F133="Alcohol-inclusive",8,IF(F133="Non-alcoholic",0,"Set pass type")))</x:f>
      </x:c>
      <x:c r="L133" s="9"/>
      <x:c r="M133" s="13" t="str">
        <x:f>IF(A133="","",IF(ISNUMBER(K133),K133-L133,"Set pass type"))</x:f>
      </x:c>
      <x:c r="N133" s="13" t="str">
        <x:f>IF(A133="","",IF(COUNTIFS($A$6:$A$205,A133)&gt;1,"Duplicate ticket ID",IF(OR(B133="",J133="Booking missing/duplicate"),"Link a unique booking",IF(OR(C133="",D133="",E133="",F133=""),"Complete guest name, Instagram, phone and pass",IF(OR(L133&lt;0,L133&gt;8,L133&lt;&gt;INT(L133),AND(ISNUMBER(K133),L133&gt;K133)),"Invalid coupon redemption",IF(AND(H133="Checked in",OR(J133&lt;&gt;"Confirmed",G133&lt;&gt;"Verified at entry",I133="")),"Check payment, age and check-in time",""))))))</x:f>
      </x:c>
    </x:row>
    <x:row r="134" ht="22" customHeight="1">
      <x:c r="A134" s="9"/>
      <x:c r="B134" s="9"/>
      <x:c r="C134" s="9"/>
      <x:c r="D134" s="9"/>
      <x:c r="E134" s="19"/>
      <x:c r="F134" s="9"/>
      <x:c r="G134" s="9"/>
      <x:c r="H134" s="9"/>
      <x:c r="I134" s="18"/>
      <x:c r="J134" s="13" t="str">
        <x:f>IF(A134="","",IF(COUNTIFS('Bookings'!$A$6:$A$205,B134)&lt;&gt;1,"Booking missing/duplicate",IF(INDEX('Bookings'!$O$6:$O$205,MATCH(B134,'Bookings'!$A$6:$A$205,0))="","Not set",INDEX('Bookings'!$O$6:$O$205,MATCH(B134,'Bookings'!$A$6:$A$205,0)))))</x:f>
      </x:c>
      <x:c r="K134" s="13" t="str">
        <x:f>IF(A134="","",IF(F134="Alcohol-inclusive",8,IF(F134="Non-alcoholic",0,"Set pass type")))</x:f>
      </x:c>
      <x:c r="L134" s="9"/>
      <x:c r="M134" s="13" t="str">
        <x:f>IF(A134="","",IF(ISNUMBER(K134),K134-L134,"Set pass type"))</x:f>
      </x:c>
      <x:c r="N134" s="13" t="str">
        <x:f>IF(A134="","",IF(COUNTIFS($A$6:$A$205,A134)&gt;1,"Duplicate ticket ID",IF(OR(B134="",J134="Booking missing/duplicate"),"Link a unique booking",IF(OR(C134="",D134="",E134="",F134=""),"Complete guest name, Instagram, phone and pass",IF(OR(L134&lt;0,L134&gt;8,L134&lt;&gt;INT(L134),AND(ISNUMBER(K134),L134&gt;K134)),"Invalid coupon redemption",IF(AND(H134="Checked in",OR(J134&lt;&gt;"Confirmed",G134&lt;&gt;"Verified at entry",I134="")),"Check payment, age and check-in time",""))))))</x:f>
      </x:c>
    </x:row>
    <x:row r="135" ht="22" customHeight="1">
      <x:c r="A135" s="9"/>
      <x:c r="B135" s="9"/>
      <x:c r="C135" s="9"/>
      <x:c r="D135" s="9"/>
      <x:c r="E135" s="19"/>
      <x:c r="F135" s="9"/>
      <x:c r="G135" s="9"/>
      <x:c r="H135" s="9"/>
      <x:c r="I135" s="18"/>
      <x:c r="J135" s="13" t="str">
        <x:f>IF(A135="","",IF(COUNTIFS('Bookings'!$A$6:$A$205,B135)&lt;&gt;1,"Booking missing/duplicate",IF(INDEX('Bookings'!$O$6:$O$205,MATCH(B135,'Bookings'!$A$6:$A$205,0))="","Not set",INDEX('Bookings'!$O$6:$O$205,MATCH(B135,'Bookings'!$A$6:$A$205,0)))))</x:f>
      </x:c>
      <x:c r="K135" s="13" t="str">
        <x:f>IF(A135="","",IF(F135="Alcohol-inclusive",8,IF(F135="Non-alcoholic",0,"Set pass type")))</x:f>
      </x:c>
      <x:c r="L135" s="9"/>
      <x:c r="M135" s="13" t="str">
        <x:f>IF(A135="","",IF(ISNUMBER(K135),K135-L135,"Set pass type"))</x:f>
      </x:c>
      <x:c r="N135" s="13" t="str">
        <x:f>IF(A135="","",IF(COUNTIFS($A$6:$A$205,A135)&gt;1,"Duplicate ticket ID",IF(OR(B135="",J135="Booking missing/duplicate"),"Link a unique booking",IF(OR(C135="",D135="",E135="",F135=""),"Complete guest name, Instagram, phone and pass",IF(OR(L135&lt;0,L135&gt;8,L135&lt;&gt;INT(L135),AND(ISNUMBER(K135),L135&gt;K135)),"Invalid coupon redemption",IF(AND(H135="Checked in",OR(J135&lt;&gt;"Confirmed",G135&lt;&gt;"Verified at entry",I135="")),"Check payment, age and check-in time",""))))))</x:f>
      </x:c>
    </x:row>
    <x:row r="136" ht="22" customHeight="1">
      <x:c r="A136" s="9"/>
      <x:c r="B136" s="9"/>
      <x:c r="C136" s="9"/>
      <x:c r="D136" s="9"/>
      <x:c r="E136" s="19"/>
      <x:c r="F136" s="9"/>
      <x:c r="G136" s="9"/>
      <x:c r="H136" s="9"/>
      <x:c r="I136" s="18"/>
      <x:c r="J136" s="13" t="str">
        <x:f>IF(A136="","",IF(COUNTIFS('Bookings'!$A$6:$A$205,B136)&lt;&gt;1,"Booking missing/duplicate",IF(INDEX('Bookings'!$O$6:$O$205,MATCH(B136,'Bookings'!$A$6:$A$205,0))="","Not set",INDEX('Bookings'!$O$6:$O$205,MATCH(B136,'Bookings'!$A$6:$A$205,0)))))</x:f>
      </x:c>
      <x:c r="K136" s="13" t="str">
        <x:f>IF(A136="","",IF(F136="Alcohol-inclusive",8,IF(F136="Non-alcoholic",0,"Set pass type")))</x:f>
      </x:c>
      <x:c r="L136" s="9"/>
      <x:c r="M136" s="13" t="str">
        <x:f>IF(A136="","",IF(ISNUMBER(K136),K136-L136,"Set pass type"))</x:f>
      </x:c>
      <x:c r="N136" s="13" t="str">
        <x:f>IF(A136="","",IF(COUNTIFS($A$6:$A$205,A136)&gt;1,"Duplicate ticket ID",IF(OR(B136="",J136="Booking missing/duplicate"),"Link a unique booking",IF(OR(C136="",D136="",E136="",F136=""),"Complete guest name, Instagram, phone and pass",IF(OR(L136&lt;0,L136&gt;8,L136&lt;&gt;INT(L136),AND(ISNUMBER(K136),L136&gt;K136)),"Invalid coupon redemption",IF(AND(H136="Checked in",OR(J136&lt;&gt;"Confirmed",G136&lt;&gt;"Verified at entry",I136="")),"Check payment, age and check-in time",""))))))</x:f>
      </x:c>
    </x:row>
    <x:row r="137" ht="22" customHeight="1">
      <x:c r="A137" s="9"/>
      <x:c r="B137" s="9"/>
      <x:c r="C137" s="9"/>
      <x:c r="D137" s="9"/>
      <x:c r="E137" s="19"/>
      <x:c r="F137" s="9"/>
      <x:c r="G137" s="9"/>
      <x:c r="H137" s="9"/>
      <x:c r="I137" s="18"/>
      <x:c r="J137" s="13" t="str">
        <x:f>IF(A137="","",IF(COUNTIFS('Bookings'!$A$6:$A$205,B137)&lt;&gt;1,"Booking missing/duplicate",IF(INDEX('Bookings'!$O$6:$O$205,MATCH(B137,'Bookings'!$A$6:$A$205,0))="","Not set",INDEX('Bookings'!$O$6:$O$205,MATCH(B137,'Bookings'!$A$6:$A$205,0)))))</x:f>
      </x:c>
      <x:c r="K137" s="13" t="str">
        <x:f>IF(A137="","",IF(F137="Alcohol-inclusive",8,IF(F137="Non-alcoholic",0,"Set pass type")))</x:f>
      </x:c>
      <x:c r="L137" s="9"/>
      <x:c r="M137" s="13" t="str">
        <x:f>IF(A137="","",IF(ISNUMBER(K137),K137-L137,"Set pass type"))</x:f>
      </x:c>
      <x:c r="N137" s="13" t="str">
        <x:f>IF(A137="","",IF(COUNTIFS($A$6:$A$205,A137)&gt;1,"Duplicate ticket ID",IF(OR(B137="",J137="Booking missing/duplicate"),"Link a unique booking",IF(OR(C137="",D137="",E137="",F137=""),"Complete guest name, Instagram, phone and pass",IF(OR(L137&lt;0,L137&gt;8,L137&lt;&gt;INT(L137),AND(ISNUMBER(K137),L137&gt;K137)),"Invalid coupon redemption",IF(AND(H137="Checked in",OR(J137&lt;&gt;"Confirmed",G137&lt;&gt;"Verified at entry",I137="")),"Check payment, age and check-in time",""))))))</x:f>
      </x:c>
    </x:row>
    <x:row r="138" ht="22" customHeight="1">
      <x:c r="A138" s="9"/>
      <x:c r="B138" s="9"/>
      <x:c r="C138" s="9"/>
      <x:c r="D138" s="9"/>
      <x:c r="E138" s="19"/>
      <x:c r="F138" s="9"/>
      <x:c r="G138" s="9"/>
      <x:c r="H138" s="9"/>
      <x:c r="I138" s="18"/>
      <x:c r="J138" s="13" t="str">
        <x:f>IF(A138="","",IF(COUNTIFS('Bookings'!$A$6:$A$205,B138)&lt;&gt;1,"Booking missing/duplicate",IF(INDEX('Bookings'!$O$6:$O$205,MATCH(B138,'Bookings'!$A$6:$A$205,0))="","Not set",INDEX('Bookings'!$O$6:$O$205,MATCH(B138,'Bookings'!$A$6:$A$205,0)))))</x:f>
      </x:c>
      <x:c r="K138" s="13" t="str">
        <x:f>IF(A138="","",IF(F138="Alcohol-inclusive",8,IF(F138="Non-alcoholic",0,"Set pass type")))</x:f>
      </x:c>
      <x:c r="L138" s="9"/>
      <x:c r="M138" s="13" t="str">
        <x:f>IF(A138="","",IF(ISNUMBER(K138),K138-L138,"Set pass type"))</x:f>
      </x:c>
      <x:c r="N138" s="13" t="str">
        <x:f>IF(A138="","",IF(COUNTIFS($A$6:$A$205,A138)&gt;1,"Duplicate ticket ID",IF(OR(B138="",J138="Booking missing/duplicate"),"Link a unique booking",IF(OR(C138="",D138="",E138="",F138=""),"Complete guest name, Instagram, phone and pass",IF(OR(L138&lt;0,L138&gt;8,L138&lt;&gt;INT(L138),AND(ISNUMBER(K138),L138&gt;K138)),"Invalid coupon redemption",IF(AND(H138="Checked in",OR(J138&lt;&gt;"Confirmed",G138&lt;&gt;"Verified at entry",I138="")),"Check payment, age and check-in time",""))))))</x:f>
      </x:c>
    </x:row>
    <x:row r="139" ht="22" customHeight="1">
      <x:c r="A139" s="9"/>
      <x:c r="B139" s="9"/>
      <x:c r="C139" s="9"/>
      <x:c r="D139" s="9"/>
      <x:c r="E139" s="19"/>
      <x:c r="F139" s="9"/>
      <x:c r="G139" s="9"/>
      <x:c r="H139" s="9"/>
      <x:c r="I139" s="18"/>
      <x:c r="J139" s="13" t="str">
        <x:f>IF(A139="","",IF(COUNTIFS('Bookings'!$A$6:$A$205,B139)&lt;&gt;1,"Booking missing/duplicate",IF(INDEX('Bookings'!$O$6:$O$205,MATCH(B139,'Bookings'!$A$6:$A$205,0))="","Not set",INDEX('Bookings'!$O$6:$O$205,MATCH(B139,'Bookings'!$A$6:$A$205,0)))))</x:f>
      </x:c>
      <x:c r="K139" s="13" t="str">
        <x:f>IF(A139="","",IF(F139="Alcohol-inclusive",8,IF(F139="Non-alcoholic",0,"Set pass type")))</x:f>
      </x:c>
      <x:c r="L139" s="9"/>
      <x:c r="M139" s="13" t="str">
        <x:f>IF(A139="","",IF(ISNUMBER(K139),K139-L139,"Set pass type"))</x:f>
      </x:c>
      <x:c r="N139" s="13" t="str">
        <x:f>IF(A139="","",IF(COUNTIFS($A$6:$A$205,A139)&gt;1,"Duplicate ticket ID",IF(OR(B139="",J139="Booking missing/duplicate"),"Link a unique booking",IF(OR(C139="",D139="",E139="",F139=""),"Complete guest name, Instagram, phone and pass",IF(OR(L139&lt;0,L139&gt;8,L139&lt;&gt;INT(L139),AND(ISNUMBER(K139),L139&gt;K139)),"Invalid coupon redemption",IF(AND(H139="Checked in",OR(J139&lt;&gt;"Confirmed",G139&lt;&gt;"Verified at entry",I139="")),"Check payment, age and check-in time",""))))))</x:f>
      </x:c>
    </x:row>
    <x:row r="140" ht="22" customHeight="1">
      <x:c r="A140" s="9"/>
      <x:c r="B140" s="9"/>
      <x:c r="C140" s="9"/>
      <x:c r="D140" s="9"/>
      <x:c r="E140" s="19"/>
      <x:c r="F140" s="9"/>
      <x:c r="G140" s="9"/>
      <x:c r="H140" s="9"/>
      <x:c r="I140" s="18"/>
      <x:c r="J140" s="13" t="str">
        <x:f>IF(A140="","",IF(COUNTIFS('Bookings'!$A$6:$A$205,B140)&lt;&gt;1,"Booking missing/duplicate",IF(INDEX('Bookings'!$O$6:$O$205,MATCH(B140,'Bookings'!$A$6:$A$205,0))="","Not set",INDEX('Bookings'!$O$6:$O$205,MATCH(B140,'Bookings'!$A$6:$A$205,0)))))</x:f>
      </x:c>
      <x:c r="K140" s="13" t="str">
        <x:f>IF(A140="","",IF(F140="Alcohol-inclusive",8,IF(F140="Non-alcoholic",0,"Set pass type")))</x:f>
      </x:c>
      <x:c r="L140" s="9"/>
      <x:c r="M140" s="13" t="str">
        <x:f>IF(A140="","",IF(ISNUMBER(K140),K140-L140,"Set pass type"))</x:f>
      </x:c>
      <x:c r="N140" s="13" t="str">
        <x:f>IF(A140="","",IF(COUNTIFS($A$6:$A$205,A140)&gt;1,"Duplicate ticket ID",IF(OR(B140="",J140="Booking missing/duplicate"),"Link a unique booking",IF(OR(C140="",D140="",E140="",F140=""),"Complete guest name, Instagram, phone and pass",IF(OR(L140&lt;0,L140&gt;8,L140&lt;&gt;INT(L140),AND(ISNUMBER(K140),L140&gt;K140)),"Invalid coupon redemption",IF(AND(H140="Checked in",OR(J140&lt;&gt;"Confirmed",G140&lt;&gt;"Verified at entry",I140="")),"Check payment, age and check-in time",""))))))</x:f>
      </x:c>
    </x:row>
    <x:row r="141" ht="22" customHeight="1">
      <x:c r="A141" s="9"/>
      <x:c r="B141" s="9"/>
      <x:c r="C141" s="9"/>
      <x:c r="D141" s="9"/>
      <x:c r="E141" s="19"/>
      <x:c r="F141" s="9"/>
      <x:c r="G141" s="9"/>
      <x:c r="H141" s="9"/>
      <x:c r="I141" s="18"/>
      <x:c r="J141" s="13" t="str">
        <x:f>IF(A141="","",IF(COUNTIFS('Bookings'!$A$6:$A$205,B141)&lt;&gt;1,"Booking missing/duplicate",IF(INDEX('Bookings'!$O$6:$O$205,MATCH(B141,'Bookings'!$A$6:$A$205,0))="","Not set",INDEX('Bookings'!$O$6:$O$205,MATCH(B141,'Bookings'!$A$6:$A$205,0)))))</x:f>
      </x:c>
      <x:c r="K141" s="13" t="str">
        <x:f>IF(A141="","",IF(F141="Alcohol-inclusive",8,IF(F141="Non-alcoholic",0,"Set pass type")))</x:f>
      </x:c>
      <x:c r="L141" s="9"/>
      <x:c r="M141" s="13" t="str">
        <x:f>IF(A141="","",IF(ISNUMBER(K141),K141-L141,"Set pass type"))</x:f>
      </x:c>
      <x:c r="N141" s="13" t="str">
        <x:f>IF(A141="","",IF(COUNTIFS($A$6:$A$205,A141)&gt;1,"Duplicate ticket ID",IF(OR(B141="",J141="Booking missing/duplicate"),"Link a unique booking",IF(OR(C141="",D141="",E141="",F141=""),"Complete guest name, Instagram, phone and pass",IF(OR(L141&lt;0,L141&gt;8,L141&lt;&gt;INT(L141),AND(ISNUMBER(K141),L141&gt;K141)),"Invalid coupon redemption",IF(AND(H141="Checked in",OR(J141&lt;&gt;"Confirmed",G141&lt;&gt;"Verified at entry",I141="")),"Check payment, age and check-in time",""))))))</x:f>
      </x:c>
    </x:row>
    <x:row r="142" ht="22" customHeight="1">
      <x:c r="A142" s="9"/>
      <x:c r="B142" s="9"/>
      <x:c r="C142" s="9"/>
      <x:c r="D142" s="9"/>
      <x:c r="E142" s="19"/>
      <x:c r="F142" s="9"/>
      <x:c r="G142" s="9"/>
      <x:c r="H142" s="9"/>
      <x:c r="I142" s="18"/>
      <x:c r="J142" s="13" t="str">
        <x:f>IF(A142="","",IF(COUNTIFS('Bookings'!$A$6:$A$205,B142)&lt;&gt;1,"Booking missing/duplicate",IF(INDEX('Bookings'!$O$6:$O$205,MATCH(B142,'Bookings'!$A$6:$A$205,0))="","Not set",INDEX('Bookings'!$O$6:$O$205,MATCH(B142,'Bookings'!$A$6:$A$205,0)))))</x:f>
      </x:c>
      <x:c r="K142" s="13" t="str">
        <x:f>IF(A142="","",IF(F142="Alcohol-inclusive",8,IF(F142="Non-alcoholic",0,"Set pass type")))</x:f>
      </x:c>
      <x:c r="L142" s="9"/>
      <x:c r="M142" s="13" t="str">
        <x:f>IF(A142="","",IF(ISNUMBER(K142),K142-L142,"Set pass type"))</x:f>
      </x:c>
      <x:c r="N142" s="13" t="str">
        <x:f>IF(A142="","",IF(COUNTIFS($A$6:$A$205,A142)&gt;1,"Duplicate ticket ID",IF(OR(B142="",J142="Booking missing/duplicate"),"Link a unique booking",IF(OR(C142="",D142="",E142="",F142=""),"Complete guest name, Instagram, phone and pass",IF(OR(L142&lt;0,L142&gt;8,L142&lt;&gt;INT(L142),AND(ISNUMBER(K142),L142&gt;K142)),"Invalid coupon redemption",IF(AND(H142="Checked in",OR(J142&lt;&gt;"Confirmed",G142&lt;&gt;"Verified at entry",I142="")),"Check payment, age and check-in time",""))))))</x:f>
      </x:c>
    </x:row>
    <x:row r="143" ht="22" customHeight="1">
      <x:c r="A143" s="9"/>
      <x:c r="B143" s="9"/>
      <x:c r="C143" s="9"/>
      <x:c r="D143" s="9"/>
      <x:c r="E143" s="19"/>
      <x:c r="F143" s="9"/>
      <x:c r="G143" s="9"/>
      <x:c r="H143" s="9"/>
      <x:c r="I143" s="18"/>
      <x:c r="J143" s="13" t="str">
        <x:f>IF(A143="","",IF(COUNTIFS('Bookings'!$A$6:$A$205,B143)&lt;&gt;1,"Booking missing/duplicate",IF(INDEX('Bookings'!$O$6:$O$205,MATCH(B143,'Bookings'!$A$6:$A$205,0))="","Not set",INDEX('Bookings'!$O$6:$O$205,MATCH(B143,'Bookings'!$A$6:$A$205,0)))))</x:f>
      </x:c>
      <x:c r="K143" s="13" t="str">
        <x:f>IF(A143="","",IF(F143="Alcohol-inclusive",8,IF(F143="Non-alcoholic",0,"Set pass type")))</x:f>
      </x:c>
      <x:c r="L143" s="9"/>
      <x:c r="M143" s="13" t="str">
        <x:f>IF(A143="","",IF(ISNUMBER(K143),K143-L143,"Set pass type"))</x:f>
      </x:c>
      <x:c r="N143" s="13" t="str">
        <x:f>IF(A143="","",IF(COUNTIFS($A$6:$A$205,A143)&gt;1,"Duplicate ticket ID",IF(OR(B143="",J143="Booking missing/duplicate"),"Link a unique booking",IF(OR(C143="",D143="",E143="",F143=""),"Complete guest name, Instagram, phone and pass",IF(OR(L143&lt;0,L143&gt;8,L143&lt;&gt;INT(L143),AND(ISNUMBER(K143),L143&gt;K143)),"Invalid coupon redemption",IF(AND(H143="Checked in",OR(J143&lt;&gt;"Confirmed",G143&lt;&gt;"Verified at entry",I143="")),"Check payment, age and check-in time",""))))))</x:f>
      </x:c>
    </x:row>
    <x:row r="144" ht="22" customHeight="1">
      <x:c r="A144" s="9"/>
      <x:c r="B144" s="9"/>
      <x:c r="C144" s="9"/>
      <x:c r="D144" s="9"/>
      <x:c r="E144" s="19"/>
      <x:c r="F144" s="9"/>
      <x:c r="G144" s="9"/>
      <x:c r="H144" s="9"/>
      <x:c r="I144" s="18"/>
      <x:c r="J144" s="13" t="str">
        <x:f>IF(A144="","",IF(COUNTIFS('Bookings'!$A$6:$A$205,B144)&lt;&gt;1,"Booking missing/duplicate",IF(INDEX('Bookings'!$O$6:$O$205,MATCH(B144,'Bookings'!$A$6:$A$205,0))="","Not set",INDEX('Bookings'!$O$6:$O$205,MATCH(B144,'Bookings'!$A$6:$A$205,0)))))</x:f>
      </x:c>
      <x:c r="K144" s="13" t="str">
        <x:f>IF(A144="","",IF(F144="Alcohol-inclusive",8,IF(F144="Non-alcoholic",0,"Set pass type")))</x:f>
      </x:c>
      <x:c r="L144" s="9"/>
      <x:c r="M144" s="13" t="str">
        <x:f>IF(A144="","",IF(ISNUMBER(K144),K144-L144,"Set pass type"))</x:f>
      </x:c>
      <x:c r="N144" s="13" t="str">
        <x:f>IF(A144="","",IF(COUNTIFS($A$6:$A$205,A144)&gt;1,"Duplicate ticket ID",IF(OR(B144="",J144="Booking missing/duplicate"),"Link a unique booking",IF(OR(C144="",D144="",E144="",F144=""),"Complete guest name, Instagram, phone and pass",IF(OR(L144&lt;0,L144&gt;8,L144&lt;&gt;INT(L144),AND(ISNUMBER(K144),L144&gt;K144)),"Invalid coupon redemption",IF(AND(H144="Checked in",OR(J144&lt;&gt;"Confirmed",G144&lt;&gt;"Verified at entry",I144="")),"Check payment, age and check-in time",""))))))</x:f>
      </x:c>
    </x:row>
    <x:row r="145" ht="22" customHeight="1">
      <x:c r="A145" s="9"/>
      <x:c r="B145" s="9"/>
      <x:c r="C145" s="9"/>
      <x:c r="D145" s="9"/>
      <x:c r="E145" s="19"/>
      <x:c r="F145" s="9"/>
      <x:c r="G145" s="9"/>
      <x:c r="H145" s="9"/>
      <x:c r="I145" s="18"/>
      <x:c r="J145" s="13" t="str">
        <x:f>IF(A145="","",IF(COUNTIFS('Bookings'!$A$6:$A$205,B145)&lt;&gt;1,"Booking missing/duplicate",IF(INDEX('Bookings'!$O$6:$O$205,MATCH(B145,'Bookings'!$A$6:$A$205,0))="","Not set",INDEX('Bookings'!$O$6:$O$205,MATCH(B145,'Bookings'!$A$6:$A$205,0)))))</x:f>
      </x:c>
      <x:c r="K145" s="13" t="str">
        <x:f>IF(A145="","",IF(F145="Alcohol-inclusive",8,IF(F145="Non-alcoholic",0,"Set pass type")))</x:f>
      </x:c>
      <x:c r="L145" s="9"/>
      <x:c r="M145" s="13" t="str">
        <x:f>IF(A145="","",IF(ISNUMBER(K145),K145-L145,"Set pass type"))</x:f>
      </x:c>
      <x:c r="N145" s="13" t="str">
        <x:f>IF(A145="","",IF(COUNTIFS($A$6:$A$205,A145)&gt;1,"Duplicate ticket ID",IF(OR(B145="",J145="Booking missing/duplicate"),"Link a unique booking",IF(OR(C145="",D145="",E145="",F145=""),"Complete guest name, Instagram, phone and pass",IF(OR(L145&lt;0,L145&gt;8,L145&lt;&gt;INT(L145),AND(ISNUMBER(K145),L145&gt;K145)),"Invalid coupon redemption",IF(AND(H145="Checked in",OR(J145&lt;&gt;"Confirmed",G145&lt;&gt;"Verified at entry",I145="")),"Check payment, age and check-in time",""))))))</x:f>
      </x:c>
    </x:row>
    <x:row r="146" ht="22" customHeight="1">
      <x:c r="A146" s="9"/>
      <x:c r="B146" s="9"/>
      <x:c r="C146" s="9"/>
      <x:c r="D146" s="9"/>
      <x:c r="E146" s="19"/>
      <x:c r="F146" s="9"/>
      <x:c r="G146" s="9"/>
      <x:c r="H146" s="9"/>
      <x:c r="I146" s="18"/>
      <x:c r="J146" s="13" t="str">
        <x:f>IF(A146="","",IF(COUNTIFS('Bookings'!$A$6:$A$205,B146)&lt;&gt;1,"Booking missing/duplicate",IF(INDEX('Bookings'!$O$6:$O$205,MATCH(B146,'Bookings'!$A$6:$A$205,0))="","Not set",INDEX('Bookings'!$O$6:$O$205,MATCH(B146,'Bookings'!$A$6:$A$205,0)))))</x:f>
      </x:c>
      <x:c r="K146" s="13" t="str">
        <x:f>IF(A146="","",IF(F146="Alcohol-inclusive",8,IF(F146="Non-alcoholic",0,"Set pass type")))</x:f>
      </x:c>
      <x:c r="L146" s="9"/>
      <x:c r="M146" s="13" t="str">
        <x:f>IF(A146="","",IF(ISNUMBER(K146),K146-L146,"Set pass type"))</x:f>
      </x:c>
      <x:c r="N146" s="13" t="str">
        <x:f>IF(A146="","",IF(COUNTIFS($A$6:$A$205,A146)&gt;1,"Duplicate ticket ID",IF(OR(B146="",J146="Booking missing/duplicate"),"Link a unique booking",IF(OR(C146="",D146="",E146="",F146=""),"Complete guest name, Instagram, phone and pass",IF(OR(L146&lt;0,L146&gt;8,L146&lt;&gt;INT(L146),AND(ISNUMBER(K146),L146&gt;K146)),"Invalid coupon redemption",IF(AND(H146="Checked in",OR(J146&lt;&gt;"Confirmed",G146&lt;&gt;"Verified at entry",I146="")),"Check payment, age and check-in time",""))))))</x:f>
      </x:c>
    </x:row>
    <x:row r="147" ht="22" customHeight="1">
      <x:c r="A147" s="9"/>
      <x:c r="B147" s="9"/>
      <x:c r="C147" s="9"/>
      <x:c r="D147" s="9"/>
      <x:c r="E147" s="19"/>
      <x:c r="F147" s="9"/>
      <x:c r="G147" s="9"/>
      <x:c r="H147" s="9"/>
      <x:c r="I147" s="18"/>
      <x:c r="J147" s="13" t="str">
        <x:f>IF(A147="","",IF(COUNTIFS('Bookings'!$A$6:$A$205,B147)&lt;&gt;1,"Booking missing/duplicate",IF(INDEX('Bookings'!$O$6:$O$205,MATCH(B147,'Bookings'!$A$6:$A$205,0))="","Not set",INDEX('Bookings'!$O$6:$O$205,MATCH(B147,'Bookings'!$A$6:$A$205,0)))))</x:f>
      </x:c>
      <x:c r="K147" s="13" t="str">
        <x:f>IF(A147="","",IF(F147="Alcohol-inclusive",8,IF(F147="Non-alcoholic",0,"Set pass type")))</x:f>
      </x:c>
      <x:c r="L147" s="9"/>
      <x:c r="M147" s="13" t="str">
        <x:f>IF(A147="","",IF(ISNUMBER(K147),K147-L147,"Set pass type"))</x:f>
      </x:c>
      <x:c r="N147" s="13" t="str">
        <x:f>IF(A147="","",IF(COUNTIFS($A$6:$A$205,A147)&gt;1,"Duplicate ticket ID",IF(OR(B147="",J147="Booking missing/duplicate"),"Link a unique booking",IF(OR(C147="",D147="",E147="",F147=""),"Complete guest name, Instagram, phone and pass",IF(OR(L147&lt;0,L147&gt;8,L147&lt;&gt;INT(L147),AND(ISNUMBER(K147),L147&gt;K147)),"Invalid coupon redemption",IF(AND(H147="Checked in",OR(J147&lt;&gt;"Confirmed",G147&lt;&gt;"Verified at entry",I147="")),"Check payment, age and check-in time",""))))))</x:f>
      </x:c>
    </x:row>
    <x:row r="148" ht="22" customHeight="1">
      <x:c r="A148" s="9"/>
      <x:c r="B148" s="9"/>
      <x:c r="C148" s="9"/>
      <x:c r="D148" s="9"/>
      <x:c r="E148" s="19"/>
      <x:c r="F148" s="9"/>
      <x:c r="G148" s="9"/>
      <x:c r="H148" s="9"/>
      <x:c r="I148" s="18"/>
      <x:c r="J148" s="13" t="str">
        <x:f>IF(A148="","",IF(COUNTIFS('Bookings'!$A$6:$A$205,B148)&lt;&gt;1,"Booking missing/duplicate",IF(INDEX('Bookings'!$O$6:$O$205,MATCH(B148,'Bookings'!$A$6:$A$205,0))="","Not set",INDEX('Bookings'!$O$6:$O$205,MATCH(B148,'Bookings'!$A$6:$A$205,0)))))</x:f>
      </x:c>
      <x:c r="K148" s="13" t="str">
        <x:f>IF(A148="","",IF(F148="Alcohol-inclusive",8,IF(F148="Non-alcoholic",0,"Set pass type")))</x:f>
      </x:c>
      <x:c r="L148" s="9"/>
      <x:c r="M148" s="13" t="str">
        <x:f>IF(A148="","",IF(ISNUMBER(K148),K148-L148,"Set pass type"))</x:f>
      </x:c>
      <x:c r="N148" s="13" t="str">
        <x:f>IF(A148="","",IF(COUNTIFS($A$6:$A$205,A148)&gt;1,"Duplicate ticket ID",IF(OR(B148="",J148="Booking missing/duplicate"),"Link a unique booking",IF(OR(C148="",D148="",E148="",F148=""),"Complete guest name, Instagram, phone and pass",IF(OR(L148&lt;0,L148&gt;8,L148&lt;&gt;INT(L148),AND(ISNUMBER(K148),L148&gt;K148)),"Invalid coupon redemption",IF(AND(H148="Checked in",OR(J148&lt;&gt;"Confirmed",G148&lt;&gt;"Verified at entry",I148="")),"Check payment, age and check-in time",""))))))</x:f>
      </x:c>
    </x:row>
    <x:row r="149" ht="22" customHeight="1">
      <x:c r="A149" s="9"/>
      <x:c r="B149" s="9"/>
      <x:c r="C149" s="9"/>
      <x:c r="D149" s="9"/>
      <x:c r="E149" s="19"/>
      <x:c r="F149" s="9"/>
      <x:c r="G149" s="9"/>
      <x:c r="H149" s="9"/>
      <x:c r="I149" s="18"/>
      <x:c r="J149" s="13" t="str">
        <x:f>IF(A149="","",IF(COUNTIFS('Bookings'!$A$6:$A$205,B149)&lt;&gt;1,"Booking missing/duplicate",IF(INDEX('Bookings'!$O$6:$O$205,MATCH(B149,'Bookings'!$A$6:$A$205,0))="","Not set",INDEX('Bookings'!$O$6:$O$205,MATCH(B149,'Bookings'!$A$6:$A$205,0)))))</x:f>
      </x:c>
      <x:c r="K149" s="13" t="str">
        <x:f>IF(A149="","",IF(F149="Alcohol-inclusive",8,IF(F149="Non-alcoholic",0,"Set pass type")))</x:f>
      </x:c>
      <x:c r="L149" s="9"/>
      <x:c r="M149" s="13" t="str">
        <x:f>IF(A149="","",IF(ISNUMBER(K149),K149-L149,"Set pass type"))</x:f>
      </x:c>
      <x:c r="N149" s="13" t="str">
        <x:f>IF(A149="","",IF(COUNTIFS($A$6:$A$205,A149)&gt;1,"Duplicate ticket ID",IF(OR(B149="",J149="Booking missing/duplicate"),"Link a unique booking",IF(OR(C149="",D149="",E149="",F149=""),"Complete guest name, Instagram, phone and pass",IF(OR(L149&lt;0,L149&gt;8,L149&lt;&gt;INT(L149),AND(ISNUMBER(K149),L149&gt;K149)),"Invalid coupon redemption",IF(AND(H149="Checked in",OR(J149&lt;&gt;"Confirmed",G149&lt;&gt;"Verified at entry",I149="")),"Check payment, age and check-in time",""))))))</x:f>
      </x:c>
    </x:row>
    <x:row r="150" ht="22" customHeight="1">
      <x:c r="A150" s="9"/>
      <x:c r="B150" s="9"/>
      <x:c r="C150" s="9"/>
      <x:c r="D150" s="9"/>
      <x:c r="E150" s="19"/>
      <x:c r="F150" s="9"/>
      <x:c r="G150" s="9"/>
      <x:c r="H150" s="9"/>
      <x:c r="I150" s="18"/>
      <x:c r="J150" s="13" t="str">
        <x:f>IF(A150="","",IF(COUNTIFS('Bookings'!$A$6:$A$205,B150)&lt;&gt;1,"Booking missing/duplicate",IF(INDEX('Bookings'!$O$6:$O$205,MATCH(B150,'Bookings'!$A$6:$A$205,0))="","Not set",INDEX('Bookings'!$O$6:$O$205,MATCH(B150,'Bookings'!$A$6:$A$205,0)))))</x:f>
      </x:c>
      <x:c r="K150" s="13" t="str">
        <x:f>IF(A150="","",IF(F150="Alcohol-inclusive",8,IF(F150="Non-alcoholic",0,"Set pass type")))</x:f>
      </x:c>
      <x:c r="L150" s="9"/>
      <x:c r="M150" s="13" t="str">
        <x:f>IF(A150="","",IF(ISNUMBER(K150),K150-L150,"Set pass type"))</x:f>
      </x:c>
      <x:c r="N150" s="13" t="str">
        <x:f>IF(A150="","",IF(COUNTIFS($A$6:$A$205,A150)&gt;1,"Duplicate ticket ID",IF(OR(B150="",J150="Booking missing/duplicate"),"Link a unique booking",IF(OR(C150="",D150="",E150="",F150=""),"Complete guest name, Instagram, phone and pass",IF(OR(L150&lt;0,L150&gt;8,L150&lt;&gt;INT(L150),AND(ISNUMBER(K150),L150&gt;K150)),"Invalid coupon redemption",IF(AND(H150="Checked in",OR(J150&lt;&gt;"Confirmed",G150&lt;&gt;"Verified at entry",I150="")),"Check payment, age and check-in time",""))))))</x:f>
      </x:c>
    </x:row>
    <x:row r="151" ht="22" customHeight="1">
      <x:c r="A151" s="9"/>
      <x:c r="B151" s="9"/>
      <x:c r="C151" s="9"/>
      <x:c r="D151" s="9"/>
      <x:c r="E151" s="19"/>
      <x:c r="F151" s="9"/>
      <x:c r="G151" s="9"/>
      <x:c r="H151" s="9"/>
      <x:c r="I151" s="18"/>
      <x:c r="J151" s="13" t="str">
        <x:f>IF(A151="","",IF(COUNTIFS('Bookings'!$A$6:$A$205,B151)&lt;&gt;1,"Booking missing/duplicate",IF(INDEX('Bookings'!$O$6:$O$205,MATCH(B151,'Bookings'!$A$6:$A$205,0))="","Not set",INDEX('Bookings'!$O$6:$O$205,MATCH(B151,'Bookings'!$A$6:$A$205,0)))))</x:f>
      </x:c>
      <x:c r="K151" s="13" t="str">
        <x:f>IF(A151="","",IF(F151="Alcohol-inclusive",8,IF(F151="Non-alcoholic",0,"Set pass type")))</x:f>
      </x:c>
      <x:c r="L151" s="9"/>
      <x:c r="M151" s="13" t="str">
        <x:f>IF(A151="","",IF(ISNUMBER(K151),K151-L151,"Set pass type"))</x:f>
      </x:c>
      <x:c r="N151" s="13" t="str">
        <x:f>IF(A151="","",IF(COUNTIFS($A$6:$A$205,A151)&gt;1,"Duplicate ticket ID",IF(OR(B151="",J151="Booking missing/duplicate"),"Link a unique booking",IF(OR(C151="",D151="",E151="",F151=""),"Complete guest name, Instagram, phone and pass",IF(OR(L151&lt;0,L151&gt;8,L151&lt;&gt;INT(L151),AND(ISNUMBER(K151),L151&gt;K151)),"Invalid coupon redemption",IF(AND(H151="Checked in",OR(J151&lt;&gt;"Confirmed",G151&lt;&gt;"Verified at entry",I151="")),"Check payment, age and check-in time",""))))))</x:f>
      </x:c>
    </x:row>
    <x:row r="152" ht="22" customHeight="1">
      <x:c r="A152" s="9"/>
      <x:c r="B152" s="9"/>
      <x:c r="C152" s="9"/>
      <x:c r="D152" s="9"/>
      <x:c r="E152" s="19"/>
      <x:c r="F152" s="9"/>
      <x:c r="G152" s="9"/>
      <x:c r="H152" s="9"/>
      <x:c r="I152" s="18"/>
      <x:c r="J152" s="13" t="str">
        <x:f>IF(A152="","",IF(COUNTIFS('Bookings'!$A$6:$A$205,B152)&lt;&gt;1,"Booking missing/duplicate",IF(INDEX('Bookings'!$O$6:$O$205,MATCH(B152,'Bookings'!$A$6:$A$205,0))="","Not set",INDEX('Bookings'!$O$6:$O$205,MATCH(B152,'Bookings'!$A$6:$A$205,0)))))</x:f>
      </x:c>
      <x:c r="K152" s="13" t="str">
        <x:f>IF(A152="","",IF(F152="Alcohol-inclusive",8,IF(F152="Non-alcoholic",0,"Set pass type")))</x:f>
      </x:c>
      <x:c r="L152" s="9"/>
      <x:c r="M152" s="13" t="str">
        <x:f>IF(A152="","",IF(ISNUMBER(K152),K152-L152,"Set pass type"))</x:f>
      </x:c>
      <x:c r="N152" s="13" t="str">
        <x:f>IF(A152="","",IF(COUNTIFS($A$6:$A$205,A152)&gt;1,"Duplicate ticket ID",IF(OR(B152="",J152="Booking missing/duplicate"),"Link a unique booking",IF(OR(C152="",D152="",E152="",F152=""),"Complete guest name, Instagram, phone and pass",IF(OR(L152&lt;0,L152&gt;8,L152&lt;&gt;INT(L152),AND(ISNUMBER(K152),L152&gt;K152)),"Invalid coupon redemption",IF(AND(H152="Checked in",OR(J152&lt;&gt;"Confirmed",G152&lt;&gt;"Verified at entry",I152="")),"Check payment, age and check-in time",""))))))</x:f>
      </x:c>
    </x:row>
    <x:row r="153" ht="22" customHeight="1">
      <x:c r="A153" s="9"/>
      <x:c r="B153" s="9"/>
      <x:c r="C153" s="9"/>
      <x:c r="D153" s="9"/>
      <x:c r="E153" s="19"/>
      <x:c r="F153" s="9"/>
      <x:c r="G153" s="9"/>
      <x:c r="H153" s="9"/>
      <x:c r="I153" s="18"/>
      <x:c r="J153" s="13" t="str">
        <x:f>IF(A153="","",IF(COUNTIFS('Bookings'!$A$6:$A$205,B153)&lt;&gt;1,"Booking missing/duplicate",IF(INDEX('Bookings'!$O$6:$O$205,MATCH(B153,'Bookings'!$A$6:$A$205,0))="","Not set",INDEX('Bookings'!$O$6:$O$205,MATCH(B153,'Bookings'!$A$6:$A$205,0)))))</x:f>
      </x:c>
      <x:c r="K153" s="13" t="str">
        <x:f>IF(A153="","",IF(F153="Alcohol-inclusive",8,IF(F153="Non-alcoholic",0,"Set pass type")))</x:f>
      </x:c>
      <x:c r="L153" s="9"/>
      <x:c r="M153" s="13" t="str">
        <x:f>IF(A153="","",IF(ISNUMBER(K153),K153-L153,"Set pass type"))</x:f>
      </x:c>
      <x:c r="N153" s="13" t="str">
        <x:f>IF(A153="","",IF(COUNTIFS($A$6:$A$205,A153)&gt;1,"Duplicate ticket ID",IF(OR(B153="",J153="Booking missing/duplicate"),"Link a unique booking",IF(OR(C153="",D153="",E153="",F153=""),"Complete guest name, Instagram, phone and pass",IF(OR(L153&lt;0,L153&gt;8,L153&lt;&gt;INT(L153),AND(ISNUMBER(K153),L153&gt;K153)),"Invalid coupon redemption",IF(AND(H153="Checked in",OR(J153&lt;&gt;"Confirmed",G153&lt;&gt;"Verified at entry",I153="")),"Check payment, age and check-in time",""))))))</x:f>
      </x:c>
    </x:row>
    <x:row r="154" ht="22" customHeight="1">
      <x:c r="A154" s="9"/>
      <x:c r="B154" s="9"/>
      <x:c r="C154" s="9"/>
      <x:c r="D154" s="9"/>
      <x:c r="E154" s="19"/>
      <x:c r="F154" s="9"/>
      <x:c r="G154" s="9"/>
      <x:c r="H154" s="9"/>
      <x:c r="I154" s="18"/>
      <x:c r="J154" s="13" t="str">
        <x:f>IF(A154="","",IF(COUNTIFS('Bookings'!$A$6:$A$205,B154)&lt;&gt;1,"Booking missing/duplicate",IF(INDEX('Bookings'!$O$6:$O$205,MATCH(B154,'Bookings'!$A$6:$A$205,0))="","Not set",INDEX('Bookings'!$O$6:$O$205,MATCH(B154,'Bookings'!$A$6:$A$205,0)))))</x:f>
      </x:c>
      <x:c r="K154" s="13" t="str">
        <x:f>IF(A154="","",IF(F154="Alcohol-inclusive",8,IF(F154="Non-alcoholic",0,"Set pass type")))</x:f>
      </x:c>
      <x:c r="L154" s="9"/>
      <x:c r="M154" s="13" t="str">
        <x:f>IF(A154="","",IF(ISNUMBER(K154),K154-L154,"Set pass type"))</x:f>
      </x:c>
      <x:c r="N154" s="13" t="str">
        <x:f>IF(A154="","",IF(COUNTIFS($A$6:$A$205,A154)&gt;1,"Duplicate ticket ID",IF(OR(B154="",J154="Booking missing/duplicate"),"Link a unique booking",IF(OR(C154="",D154="",E154="",F154=""),"Complete guest name, Instagram, phone and pass",IF(OR(L154&lt;0,L154&gt;8,L154&lt;&gt;INT(L154),AND(ISNUMBER(K154),L154&gt;K154)),"Invalid coupon redemption",IF(AND(H154="Checked in",OR(J154&lt;&gt;"Confirmed",G154&lt;&gt;"Verified at entry",I154="")),"Check payment, age and check-in time",""))))))</x:f>
      </x:c>
    </x:row>
    <x:row r="155" ht="22" customHeight="1">
      <x:c r="A155" s="9"/>
      <x:c r="B155" s="9"/>
      <x:c r="C155" s="9"/>
      <x:c r="D155" s="9"/>
      <x:c r="E155" s="19"/>
      <x:c r="F155" s="9"/>
      <x:c r="G155" s="9"/>
      <x:c r="H155" s="9"/>
      <x:c r="I155" s="18"/>
      <x:c r="J155" s="13" t="str">
        <x:f>IF(A155="","",IF(COUNTIFS('Bookings'!$A$6:$A$205,B155)&lt;&gt;1,"Booking missing/duplicate",IF(INDEX('Bookings'!$O$6:$O$205,MATCH(B155,'Bookings'!$A$6:$A$205,0))="","Not set",INDEX('Bookings'!$O$6:$O$205,MATCH(B155,'Bookings'!$A$6:$A$205,0)))))</x:f>
      </x:c>
      <x:c r="K155" s="13" t="str">
        <x:f>IF(A155="","",IF(F155="Alcohol-inclusive",8,IF(F155="Non-alcoholic",0,"Set pass type")))</x:f>
      </x:c>
      <x:c r="L155" s="9"/>
      <x:c r="M155" s="13" t="str">
        <x:f>IF(A155="","",IF(ISNUMBER(K155),K155-L155,"Set pass type"))</x:f>
      </x:c>
      <x:c r="N155" s="13" t="str">
        <x:f>IF(A155="","",IF(COUNTIFS($A$6:$A$205,A155)&gt;1,"Duplicate ticket ID",IF(OR(B155="",J155="Booking missing/duplicate"),"Link a unique booking",IF(OR(C155="",D155="",E155="",F155=""),"Complete guest name, Instagram, phone and pass",IF(OR(L155&lt;0,L155&gt;8,L155&lt;&gt;INT(L155),AND(ISNUMBER(K155),L155&gt;K155)),"Invalid coupon redemption",IF(AND(H155="Checked in",OR(J155&lt;&gt;"Confirmed",G155&lt;&gt;"Verified at entry",I155="")),"Check payment, age and check-in time",""))))))</x:f>
      </x:c>
    </x:row>
    <x:row r="156" ht="22" customHeight="1">
      <x:c r="A156" s="9"/>
      <x:c r="B156" s="9"/>
      <x:c r="C156" s="9"/>
      <x:c r="D156" s="9"/>
      <x:c r="E156" s="19"/>
      <x:c r="F156" s="9"/>
      <x:c r="G156" s="9"/>
      <x:c r="H156" s="9"/>
      <x:c r="I156" s="18"/>
      <x:c r="J156" s="13" t="str">
        <x:f>IF(A156="","",IF(COUNTIFS('Bookings'!$A$6:$A$205,B156)&lt;&gt;1,"Booking missing/duplicate",IF(INDEX('Bookings'!$O$6:$O$205,MATCH(B156,'Bookings'!$A$6:$A$205,0))="","Not set",INDEX('Bookings'!$O$6:$O$205,MATCH(B156,'Bookings'!$A$6:$A$205,0)))))</x:f>
      </x:c>
      <x:c r="K156" s="13" t="str">
        <x:f>IF(A156="","",IF(F156="Alcohol-inclusive",8,IF(F156="Non-alcoholic",0,"Set pass type")))</x:f>
      </x:c>
      <x:c r="L156" s="9"/>
      <x:c r="M156" s="13" t="str">
        <x:f>IF(A156="","",IF(ISNUMBER(K156),K156-L156,"Set pass type"))</x:f>
      </x:c>
      <x:c r="N156" s="13" t="str">
        <x:f>IF(A156="","",IF(COUNTIFS($A$6:$A$205,A156)&gt;1,"Duplicate ticket ID",IF(OR(B156="",J156="Booking missing/duplicate"),"Link a unique booking",IF(OR(C156="",D156="",E156="",F156=""),"Complete guest name, Instagram, phone and pass",IF(OR(L156&lt;0,L156&gt;8,L156&lt;&gt;INT(L156),AND(ISNUMBER(K156),L156&gt;K156)),"Invalid coupon redemption",IF(AND(H156="Checked in",OR(J156&lt;&gt;"Confirmed",G156&lt;&gt;"Verified at entry",I156="")),"Check payment, age and check-in time",""))))))</x:f>
      </x:c>
    </x:row>
    <x:row r="157" ht="22" customHeight="1">
      <x:c r="A157" s="9"/>
      <x:c r="B157" s="9"/>
      <x:c r="C157" s="9"/>
      <x:c r="D157" s="9"/>
      <x:c r="E157" s="19"/>
      <x:c r="F157" s="9"/>
      <x:c r="G157" s="9"/>
      <x:c r="H157" s="9"/>
      <x:c r="I157" s="18"/>
      <x:c r="J157" s="13" t="str">
        <x:f>IF(A157="","",IF(COUNTIFS('Bookings'!$A$6:$A$205,B157)&lt;&gt;1,"Booking missing/duplicate",IF(INDEX('Bookings'!$O$6:$O$205,MATCH(B157,'Bookings'!$A$6:$A$205,0))="","Not set",INDEX('Bookings'!$O$6:$O$205,MATCH(B157,'Bookings'!$A$6:$A$205,0)))))</x:f>
      </x:c>
      <x:c r="K157" s="13" t="str">
        <x:f>IF(A157="","",IF(F157="Alcohol-inclusive",8,IF(F157="Non-alcoholic",0,"Set pass type")))</x:f>
      </x:c>
      <x:c r="L157" s="9"/>
      <x:c r="M157" s="13" t="str">
        <x:f>IF(A157="","",IF(ISNUMBER(K157),K157-L157,"Set pass type"))</x:f>
      </x:c>
      <x:c r="N157" s="13" t="str">
        <x:f>IF(A157="","",IF(COUNTIFS($A$6:$A$205,A157)&gt;1,"Duplicate ticket ID",IF(OR(B157="",J157="Booking missing/duplicate"),"Link a unique booking",IF(OR(C157="",D157="",E157="",F157=""),"Complete guest name, Instagram, phone and pass",IF(OR(L157&lt;0,L157&gt;8,L157&lt;&gt;INT(L157),AND(ISNUMBER(K157),L157&gt;K157)),"Invalid coupon redemption",IF(AND(H157="Checked in",OR(J157&lt;&gt;"Confirmed",G157&lt;&gt;"Verified at entry",I157="")),"Check payment, age and check-in time",""))))))</x:f>
      </x:c>
    </x:row>
    <x:row r="158" ht="22" customHeight="1">
      <x:c r="A158" s="9"/>
      <x:c r="B158" s="9"/>
      <x:c r="C158" s="9"/>
      <x:c r="D158" s="9"/>
      <x:c r="E158" s="19"/>
      <x:c r="F158" s="9"/>
      <x:c r="G158" s="9"/>
      <x:c r="H158" s="9"/>
      <x:c r="I158" s="18"/>
      <x:c r="J158" s="13" t="str">
        <x:f>IF(A158="","",IF(COUNTIFS('Bookings'!$A$6:$A$205,B158)&lt;&gt;1,"Booking missing/duplicate",IF(INDEX('Bookings'!$O$6:$O$205,MATCH(B158,'Bookings'!$A$6:$A$205,0))="","Not set",INDEX('Bookings'!$O$6:$O$205,MATCH(B158,'Bookings'!$A$6:$A$205,0)))))</x:f>
      </x:c>
      <x:c r="K158" s="13" t="str">
        <x:f>IF(A158="","",IF(F158="Alcohol-inclusive",8,IF(F158="Non-alcoholic",0,"Set pass type")))</x:f>
      </x:c>
      <x:c r="L158" s="9"/>
      <x:c r="M158" s="13" t="str">
        <x:f>IF(A158="","",IF(ISNUMBER(K158),K158-L158,"Set pass type"))</x:f>
      </x:c>
      <x:c r="N158" s="13" t="str">
        <x:f>IF(A158="","",IF(COUNTIFS($A$6:$A$205,A158)&gt;1,"Duplicate ticket ID",IF(OR(B158="",J158="Booking missing/duplicate"),"Link a unique booking",IF(OR(C158="",D158="",E158="",F158=""),"Complete guest name, Instagram, phone and pass",IF(OR(L158&lt;0,L158&gt;8,L158&lt;&gt;INT(L158),AND(ISNUMBER(K158),L158&gt;K158)),"Invalid coupon redemption",IF(AND(H158="Checked in",OR(J158&lt;&gt;"Confirmed",G158&lt;&gt;"Verified at entry",I158="")),"Check payment, age and check-in time",""))))))</x:f>
      </x:c>
    </x:row>
    <x:row r="159" ht="22" customHeight="1">
      <x:c r="A159" s="9"/>
      <x:c r="B159" s="9"/>
      <x:c r="C159" s="9"/>
      <x:c r="D159" s="9"/>
      <x:c r="E159" s="19"/>
      <x:c r="F159" s="9"/>
      <x:c r="G159" s="9"/>
      <x:c r="H159" s="9"/>
      <x:c r="I159" s="18"/>
      <x:c r="J159" s="13" t="str">
        <x:f>IF(A159="","",IF(COUNTIFS('Bookings'!$A$6:$A$205,B159)&lt;&gt;1,"Booking missing/duplicate",IF(INDEX('Bookings'!$O$6:$O$205,MATCH(B159,'Bookings'!$A$6:$A$205,0))="","Not set",INDEX('Bookings'!$O$6:$O$205,MATCH(B159,'Bookings'!$A$6:$A$205,0)))))</x:f>
      </x:c>
      <x:c r="K159" s="13" t="str">
        <x:f>IF(A159="","",IF(F159="Alcohol-inclusive",8,IF(F159="Non-alcoholic",0,"Set pass type")))</x:f>
      </x:c>
      <x:c r="L159" s="9"/>
      <x:c r="M159" s="13" t="str">
        <x:f>IF(A159="","",IF(ISNUMBER(K159),K159-L159,"Set pass type"))</x:f>
      </x:c>
      <x:c r="N159" s="13" t="str">
        <x:f>IF(A159="","",IF(COUNTIFS($A$6:$A$205,A159)&gt;1,"Duplicate ticket ID",IF(OR(B159="",J159="Booking missing/duplicate"),"Link a unique booking",IF(OR(C159="",D159="",E159="",F159=""),"Complete guest name, Instagram, phone and pass",IF(OR(L159&lt;0,L159&gt;8,L159&lt;&gt;INT(L159),AND(ISNUMBER(K159),L159&gt;K159)),"Invalid coupon redemption",IF(AND(H159="Checked in",OR(J159&lt;&gt;"Confirmed",G159&lt;&gt;"Verified at entry",I159="")),"Check payment, age and check-in time",""))))))</x:f>
      </x:c>
    </x:row>
    <x:row r="160" ht="22" customHeight="1">
      <x:c r="A160" s="9"/>
      <x:c r="B160" s="9"/>
      <x:c r="C160" s="9"/>
      <x:c r="D160" s="9"/>
      <x:c r="E160" s="19"/>
      <x:c r="F160" s="9"/>
      <x:c r="G160" s="9"/>
      <x:c r="H160" s="9"/>
      <x:c r="I160" s="18"/>
      <x:c r="J160" s="13" t="str">
        <x:f>IF(A160="","",IF(COUNTIFS('Bookings'!$A$6:$A$205,B160)&lt;&gt;1,"Booking missing/duplicate",IF(INDEX('Bookings'!$O$6:$O$205,MATCH(B160,'Bookings'!$A$6:$A$205,0))="","Not set",INDEX('Bookings'!$O$6:$O$205,MATCH(B160,'Bookings'!$A$6:$A$205,0)))))</x:f>
      </x:c>
      <x:c r="K160" s="13" t="str">
        <x:f>IF(A160="","",IF(F160="Alcohol-inclusive",8,IF(F160="Non-alcoholic",0,"Set pass type")))</x:f>
      </x:c>
      <x:c r="L160" s="9"/>
      <x:c r="M160" s="13" t="str">
        <x:f>IF(A160="","",IF(ISNUMBER(K160),K160-L160,"Set pass type"))</x:f>
      </x:c>
      <x:c r="N160" s="13" t="str">
        <x:f>IF(A160="","",IF(COUNTIFS($A$6:$A$205,A160)&gt;1,"Duplicate ticket ID",IF(OR(B160="",J160="Booking missing/duplicate"),"Link a unique booking",IF(OR(C160="",D160="",E160="",F160=""),"Complete guest name, Instagram, phone and pass",IF(OR(L160&lt;0,L160&gt;8,L160&lt;&gt;INT(L160),AND(ISNUMBER(K160),L160&gt;K160)),"Invalid coupon redemption",IF(AND(H160="Checked in",OR(J160&lt;&gt;"Confirmed",G160&lt;&gt;"Verified at entry",I160="")),"Check payment, age and check-in time",""))))))</x:f>
      </x:c>
    </x:row>
    <x:row r="161" ht="22" customHeight="1">
      <x:c r="A161" s="9"/>
      <x:c r="B161" s="9"/>
      <x:c r="C161" s="9"/>
      <x:c r="D161" s="9"/>
      <x:c r="E161" s="19"/>
      <x:c r="F161" s="9"/>
      <x:c r="G161" s="9"/>
      <x:c r="H161" s="9"/>
      <x:c r="I161" s="18"/>
      <x:c r="J161" s="13" t="str">
        <x:f>IF(A161="","",IF(COUNTIFS('Bookings'!$A$6:$A$205,B161)&lt;&gt;1,"Booking missing/duplicate",IF(INDEX('Bookings'!$O$6:$O$205,MATCH(B161,'Bookings'!$A$6:$A$205,0))="","Not set",INDEX('Bookings'!$O$6:$O$205,MATCH(B161,'Bookings'!$A$6:$A$205,0)))))</x:f>
      </x:c>
      <x:c r="K161" s="13" t="str">
        <x:f>IF(A161="","",IF(F161="Alcohol-inclusive",8,IF(F161="Non-alcoholic",0,"Set pass type")))</x:f>
      </x:c>
      <x:c r="L161" s="9"/>
      <x:c r="M161" s="13" t="str">
        <x:f>IF(A161="","",IF(ISNUMBER(K161),K161-L161,"Set pass type"))</x:f>
      </x:c>
      <x:c r="N161" s="13" t="str">
        <x:f>IF(A161="","",IF(COUNTIFS($A$6:$A$205,A161)&gt;1,"Duplicate ticket ID",IF(OR(B161="",J161="Booking missing/duplicate"),"Link a unique booking",IF(OR(C161="",D161="",E161="",F161=""),"Complete guest name, Instagram, phone and pass",IF(OR(L161&lt;0,L161&gt;8,L161&lt;&gt;INT(L161),AND(ISNUMBER(K161),L161&gt;K161)),"Invalid coupon redemption",IF(AND(H161="Checked in",OR(J161&lt;&gt;"Confirmed",G161&lt;&gt;"Verified at entry",I161="")),"Check payment, age and check-in time",""))))))</x:f>
      </x:c>
    </x:row>
    <x:row r="162" ht="22" customHeight="1">
      <x:c r="A162" s="9"/>
      <x:c r="B162" s="9"/>
      <x:c r="C162" s="9"/>
      <x:c r="D162" s="9"/>
      <x:c r="E162" s="19"/>
      <x:c r="F162" s="9"/>
      <x:c r="G162" s="9"/>
      <x:c r="H162" s="9"/>
      <x:c r="I162" s="18"/>
      <x:c r="J162" s="13" t="str">
        <x:f>IF(A162="","",IF(COUNTIFS('Bookings'!$A$6:$A$205,B162)&lt;&gt;1,"Booking missing/duplicate",IF(INDEX('Bookings'!$O$6:$O$205,MATCH(B162,'Bookings'!$A$6:$A$205,0))="","Not set",INDEX('Bookings'!$O$6:$O$205,MATCH(B162,'Bookings'!$A$6:$A$205,0)))))</x:f>
      </x:c>
      <x:c r="K162" s="13" t="str">
        <x:f>IF(A162="","",IF(F162="Alcohol-inclusive",8,IF(F162="Non-alcoholic",0,"Set pass type")))</x:f>
      </x:c>
      <x:c r="L162" s="9"/>
      <x:c r="M162" s="13" t="str">
        <x:f>IF(A162="","",IF(ISNUMBER(K162),K162-L162,"Set pass type"))</x:f>
      </x:c>
      <x:c r="N162" s="13" t="str">
        <x:f>IF(A162="","",IF(COUNTIFS($A$6:$A$205,A162)&gt;1,"Duplicate ticket ID",IF(OR(B162="",J162="Booking missing/duplicate"),"Link a unique booking",IF(OR(C162="",D162="",E162="",F162=""),"Complete guest name, Instagram, phone and pass",IF(OR(L162&lt;0,L162&gt;8,L162&lt;&gt;INT(L162),AND(ISNUMBER(K162),L162&gt;K162)),"Invalid coupon redemption",IF(AND(H162="Checked in",OR(J162&lt;&gt;"Confirmed",G162&lt;&gt;"Verified at entry",I162="")),"Check payment, age and check-in time",""))))))</x:f>
      </x:c>
    </x:row>
    <x:row r="163" ht="22" customHeight="1">
      <x:c r="A163" s="9"/>
      <x:c r="B163" s="9"/>
      <x:c r="C163" s="9"/>
      <x:c r="D163" s="9"/>
      <x:c r="E163" s="19"/>
      <x:c r="F163" s="9"/>
      <x:c r="G163" s="9"/>
      <x:c r="H163" s="9"/>
      <x:c r="I163" s="18"/>
      <x:c r="J163" s="13" t="str">
        <x:f>IF(A163="","",IF(COUNTIFS('Bookings'!$A$6:$A$205,B163)&lt;&gt;1,"Booking missing/duplicate",IF(INDEX('Bookings'!$O$6:$O$205,MATCH(B163,'Bookings'!$A$6:$A$205,0))="","Not set",INDEX('Bookings'!$O$6:$O$205,MATCH(B163,'Bookings'!$A$6:$A$205,0)))))</x:f>
      </x:c>
      <x:c r="K163" s="13" t="str">
        <x:f>IF(A163="","",IF(F163="Alcohol-inclusive",8,IF(F163="Non-alcoholic",0,"Set pass type")))</x:f>
      </x:c>
      <x:c r="L163" s="9"/>
      <x:c r="M163" s="13" t="str">
        <x:f>IF(A163="","",IF(ISNUMBER(K163),K163-L163,"Set pass type"))</x:f>
      </x:c>
      <x:c r="N163" s="13" t="str">
        <x:f>IF(A163="","",IF(COUNTIFS($A$6:$A$205,A163)&gt;1,"Duplicate ticket ID",IF(OR(B163="",J163="Booking missing/duplicate"),"Link a unique booking",IF(OR(C163="",D163="",E163="",F163=""),"Complete guest name, Instagram, phone and pass",IF(OR(L163&lt;0,L163&gt;8,L163&lt;&gt;INT(L163),AND(ISNUMBER(K163),L163&gt;K163)),"Invalid coupon redemption",IF(AND(H163="Checked in",OR(J163&lt;&gt;"Confirmed",G163&lt;&gt;"Verified at entry",I163="")),"Check payment, age and check-in time",""))))))</x:f>
      </x:c>
    </x:row>
    <x:row r="164" ht="22" customHeight="1">
      <x:c r="A164" s="9"/>
      <x:c r="B164" s="9"/>
      <x:c r="C164" s="9"/>
      <x:c r="D164" s="9"/>
      <x:c r="E164" s="19"/>
      <x:c r="F164" s="9"/>
      <x:c r="G164" s="9"/>
      <x:c r="H164" s="9"/>
      <x:c r="I164" s="18"/>
      <x:c r="J164" s="13" t="str">
        <x:f>IF(A164="","",IF(COUNTIFS('Bookings'!$A$6:$A$205,B164)&lt;&gt;1,"Booking missing/duplicate",IF(INDEX('Bookings'!$O$6:$O$205,MATCH(B164,'Bookings'!$A$6:$A$205,0))="","Not set",INDEX('Bookings'!$O$6:$O$205,MATCH(B164,'Bookings'!$A$6:$A$205,0)))))</x:f>
      </x:c>
      <x:c r="K164" s="13" t="str">
        <x:f>IF(A164="","",IF(F164="Alcohol-inclusive",8,IF(F164="Non-alcoholic",0,"Set pass type")))</x:f>
      </x:c>
      <x:c r="L164" s="9"/>
      <x:c r="M164" s="13" t="str">
        <x:f>IF(A164="","",IF(ISNUMBER(K164),K164-L164,"Set pass type"))</x:f>
      </x:c>
      <x:c r="N164" s="13" t="str">
        <x:f>IF(A164="","",IF(COUNTIFS($A$6:$A$205,A164)&gt;1,"Duplicate ticket ID",IF(OR(B164="",J164="Booking missing/duplicate"),"Link a unique booking",IF(OR(C164="",D164="",E164="",F164=""),"Complete guest name, Instagram, phone and pass",IF(OR(L164&lt;0,L164&gt;8,L164&lt;&gt;INT(L164),AND(ISNUMBER(K164),L164&gt;K164)),"Invalid coupon redemption",IF(AND(H164="Checked in",OR(J164&lt;&gt;"Confirmed",G164&lt;&gt;"Verified at entry",I164="")),"Check payment, age and check-in time",""))))))</x:f>
      </x:c>
    </x:row>
    <x:row r="165" ht="22" customHeight="1">
      <x:c r="A165" s="9"/>
      <x:c r="B165" s="9"/>
      <x:c r="C165" s="9"/>
      <x:c r="D165" s="9"/>
      <x:c r="E165" s="19"/>
      <x:c r="F165" s="9"/>
      <x:c r="G165" s="9"/>
      <x:c r="H165" s="9"/>
      <x:c r="I165" s="18"/>
      <x:c r="J165" s="13" t="str">
        <x:f>IF(A165="","",IF(COUNTIFS('Bookings'!$A$6:$A$205,B165)&lt;&gt;1,"Booking missing/duplicate",IF(INDEX('Bookings'!$O$6:$O$205,MATCH(B165,'Bookings'!$A$6:$A$205,0))="","Not set",INDEX('Bookings'!$O$6:$O$205,MATCH(B165,'Bookings'!$A$6:$A$205,0)))))</x:f>
      </x:c>
      <x:c r="K165" s="13" t="str">
        <x:f>IF(A165="","",IF(F165="Alcohol-inclusive",8,IF(F165="Non-alcoholic",0,"Set pass type")))</x:f>
      </x:c>
      <x:c r="L165" s="9"/>
      <x:c r="M165" s="13" t="str">
        <x:f>IF(A165="","",IF(ISNUMBER(K165),K165-L165,"Set pass type"))</x:f>
      </x:c>
      <x:c r="N165" s="13" t="str">
        <x:f>IF(A165="","",IF(COUNTIFS($A$6:$A$205,A165)&gt;1,"Duplicate ticket ID",IF(OR(B165="",J165="Booking missing/duplicate"),"Link a unique booking",IF(OR(C165="",D165="",E165="",F165=""),"Complete guest name, Instagram, phone and pass",IF(OR(L165&lt;0,L165&gt;8,L165&lt;&gt;INT(L165),AND(ISNUMBER(K165),L165&gt;K165)),"Invalid coupon redemption",IF(AND(H165="Checked in",OR(J165&lt;&gt;"Confirmed",G165&lt;&gt;"Verified at entry",I165="")),"Check payment, age and check-in time",""))))))</x:f>
      </x:c>
    </x:row>
    <x:row r="166" ht="22" customHeight="1">
      <x:c r="A166" s="9"/>
      <x:c r="B166" s="9"/>
      <x:c r="C166" s="9"/>
      <x:c r="D166" s="9"/>
      <x:c r="E166" s="19"/>
      <x:c r="F166" s="9"/>
      <x:c r="G166" s="9"/>
      <x:c r="H166" s="9"/>
      <x:c r="I166" s="18"/>
      <x:c r="J166" s="13" t="str">
        <x:f>IF(A166="","",IF(COUNTIFS('Bookings'!$A$6:$A$205,B166)&lt;&gt;1,"Booking missing/duplicate",IF(INDEX('Bookings'!$O$6:$O$205,MATCH(B166,'Bookings'!$A$6:$A$205,0))="","Not set",INDEX('Bookings'!$O$6:$O$205,MATCH(B166,'Bookings'!$A$6:$A$205,0)))))</x:f>
      </x:c>
      <x:c r="K166" s="13" t="str">
        <x:f>IF(A166="","",IF(F166="Alcohol-inclusive",8,IF(F166="Non-alcoholic",0,"Set pass type")))</x:f>
      </x:c>
      <x:c r="L166" s="9"/>
      <x:c r="M166" s="13" t="str">
        <x:f>IF(A166="","",IF(ISNUMBER(K166),K166-L166,"Set pass type"))</x:f>
      </x:c>
      <x:c r="N166" s="13" t="str">
        <x:f>IF(A166="","",IF(COUNTIFS($A$6:$A$205,A166)&gt;1,"Duplicate ticket ID",IF(OR(B166="",J166="Booking missing/duplicate"),"Link a unique booking",IF(OR(C166="",D166="",E166="",F166=""),"Complete guest name, Instagram, phone and pass",IF(OR(L166&lt;0,L166&gt;8,L166&lt;&gt;INT(L166),AND(ISNUMBER(K166),L166&gt;K166)),"Invalid coupon redemption",IF(AND(H166="Checked in",OR(J166&lt;&gt;"Confirmed",G166&lt;&gt;"Verified at entry",I166="")),"Check payment, age and check-in time",""))))))</x:f>
      </x:c>
    </x:row>
    <x:row r="167" ht="22" customHeight="1">
      <x:c r="A167" s="9"/>
      <x:c r="B167" s="9"/>
      <x:c r="C167" s="9"/>
      <x:c r="D167" s="9"/>
      <x:c r="E167" s="19"/>
      <x:c r="F167" s="9"/>
      <x:c r="G167" s="9"/>
      <x:c r="H167" s="9"/>
      <x:c r="I167" s="18"/>
      <x:c r="J167" s="13" t="str">
        <x:f>IF(A167="","",IF(COUNTIFS('Bookings'!$A$6:$A$205,B167)&lt;&gt;1,"Booking missing/duplicate",IF(INDEX('Bookings'!$O$6:$O$205,MATCH(B167,'Bookings'!$A$6:$A$205,0))="","Not set",INDEX('Bookings'!$O$6:$O$205,MATCH(B167,'Bookings'!$A$6:$A$205,0)))))</x:f>
      </x:c>
      <x:c r="K167" s="13" t="str">
        <x:f>IF(A167="","",IF(F167="Alcohol-inclusive",8,IF(F167="Non-alcoholic",0,"Set pass type")))</x:f>
      </x:c>
      <x:c r="L167" s="9"/>
      <x:c r="M167" s="13" t="str">
        <x:f>IF(A167="","",IF(ISNUMBER(K167),K167-L167,"Set pass type"))</x:f>
      </x:c>
      <x:c r="N167" s="13" t="str">
        <x:f>IF(A167="","",IF(COUNTIFS($A$6:$A$205,A167)&gt;1,"Duplicate ticket ID",IF(OR(B167="",J167="Booking missing/duplicate"),"Link a unique booking",IF(OR(C167="",D167="",E167="",F167=""),"Complete guest name, Instagram, phone and pass",IF(OR(L167&lt;0,L167&gt;8,L167&lt;&gt;INT(L167),AND(ISNUMBER(K167),L167&gt;K167)),"Invalid coupon redemption",IF(AND(H167="Checked in",OR(J167&lt;&gt;"Confirmed",G167&lt;&gt;"Verified at entry",I167="")),"Check payment, age and check-in time",""))))))</x:f>
      </x:c>
    </x:row>
    <x:row r="168" ht="22" customHeight="1">
      <x:c r="A168" s="9"/>
      <x:c r="B168" s="9"/>
      <x:c r="C168" s="9"/>
      <x:c r="D168" s="9"/>
      <x:c r="E168" s="19"/>
      <x:c r="F168" s="9"/>
      <x:c r="G168" s="9"/>
      <x:c r="H168" s="9"/>
      <x:c r="I168" s="18"/>
      <x:c r="J168" s="13" t="str">
        <x:f>IF(A168="","",IF(COUNTIFS('Bookings'!$A$6:$A$205,B168)&lt;&gt;1,"Booking missing/duplicate",IF(INDEX('Bookings'!$O$6:$O$205,MATCH(B168,'Bookings'!$A$6:$A$205,0))="","Not set",INDEX('Bookings'!$O$6:$O$205,MATCH(B168,'Bookings'!$A$6:$A$205,0)))))</x:f>
      </x:c>
      <x:c r="K168" s="13" t="str">
        <x:f>IF(A168="","",IF(F168="Alcohol-inclusive",8,IF(F168="Non-alcoholic",0,"Set pass type")))</x:f>
      </x:c>
      <x:c r="L168" s="9"/>
      <x:c r="M168" s="13" t="str">
        <x:f>IF(A168="","",IF(ISNUMBER(K168),K168-L168,"Set pass type"))</x:f>
      </x:c>
      <x:c r="N168" s="13" t="str">
        <x:f>IF(A168="","",IF(COUNTIFS($A$6:$A$205,A168)&gt;1,"Duplicate ticket ID",IF(OR(B168="",J168="Booking missing/duplicate"),"Link a unique booking",IF(OR(C168="",D168="",E168="",F168=""),"Complete guest name, Instagram, phone and pass",IF(OR(L168&lt;0,L168&gt;8,L168&lt;&gt;INT(L168),AND(ISNUMBER(K168),L168&gt;K168)),"Invalid coupon redemption",IF(AND(H168="Checked in",OR(J168&lt;&gt;"Confirmed",G168&lt;&gt;"Verified at entry",I168="")),"Check payment, age and check-in time",""))))))</x:f>
      </x:c>
    </x:row>
    <x:row r="169" ht="22" customHeight="1">
      <x:c r="A169" s="9"/>
      <x:c r="B169" s="9"/>
      <x:c r="C169" s="9"/>
      <x:c r="D169" s="9"/>
      <x:c r="E169" s="19"/>
      <x:c r="F169" s="9"/>
      <x:c r="G169" s="9"/>
      <x:c r="H169" s="9"/>
      <x:c r="I169" s="18"/>
      <x:c r="J169" s="13" t="str">
        <x:f>IF(A169="","",IF(COUNTIFS('Bookings'!$A$6:$A$205,B169)&lt;&gt;1,"Booking missing/duplicate",IF(INDEX('Bookings'!$O$6:$O$205,MATCH(B169,'Bookings'!$A$6:$A$205,0))="","Not set",INDEX('Bookings'!$O$6:$O$205,MATCH(B169,'Bookings'!$A$6:$A$205,0)))))</x:f>
      </x:c>
      <x:c r="K169" s="13" t="str">
        <x:f>IF(A169="","",IF(F169="Alcohol-inclusive",8,IF(F169="Non-alcoholic",0,"Set pass type")))</x:f>
      </x:c>
      <x:c r="L169" s="9"/>
      <x:c r="M169" s="13" t="str">
        <x:f>IF(A169="","",IF(ISNUMBER(K169),K169-L169,"Set pass type"))</x:f>
      </x:c>
      <x:c r="N169" s="13" t="str">
        <x:f>IF(A169="","",IF(COUNTIFS($A$6:$A$205,A169)&gt;1,"Duplicate ticket ID",IF(OR(B169="",J169="Booking missing/duplicate"),"Link a unique booking",IF(OR(C169="",D169="",E169="",F169=""),"Complete guest name, Instagram, phone and pass",IF(OR(L169&lt;0,L169&gt;8,L169&lt;&gt;INT(L169),AND(ISNUMBER(K169),L169&gt;K169)),"Invalid coupon redemption",IF(AND(H169="Checked in",OR(J169&lt;&gt;"Confirmed",G169&lt;&gt;"Verified at entry",I169="")),"Check payment, age and check-in time",""))))))</x:f>
      </x:c>
    </x:row>
    <x:row r="170" ht="22" customHeight="1">
      <x:c r="A170" s="9"/>
      <x:c r="B170" s="9"/>
      <x:c r="C170" s="9"/>
      <x:c r="D170" s="9"/>
      <x:c r="E170" s="19"/>
      <x:c r="F170" s="9"/>
      <x:c r="G170" s="9"/>
      <x:c r="H170" s="9"/>
      <x:c r="I170" s="18"/>
      <x:c r="J170" s="13" t="str">
        <x:f>IF(A170="","",IF(COUNTIFS('Bookings'!$A$6:$A$205,B170)&lt;&gt;1,"Booking missing/duplicate",IF(INDEX('Bookings'!$O$6:$O$205,MATCH(B170,'Bookings'!$A$6:$A$205,0))="","Not set",INDEX('Bookings'!$O$6:$O$205,MATCH(B170,'Bookings'!$A$6:$A$205,0)))))</x:f>
      </x:c>
      <x:c r="K170" s="13" t="str">
        <x:f>IF(A170="","",IF(F170="Alcohol-inclusive",8,IF(F170="Non-alcoholic",0,"Set pass type")))</x:f>
      </x:c>
      <x:c r="L170" s="9"/>
      <x:c r="M170" s="13" t="str">
        <x:f>IF(A170="","",IF(ISNUMBER(K170),K170-L170,"Set pass type"))</x:f>
      </x:c>
      <x:c r="N170" s="13" t="str">
        <x:f>IF(A170="","",IF(COUNTIFS($A$6:$A$205,A170)&gt;1,"Duplicate ticket ID",IF(OR(B170="",J170="Booking missing/duplicate"),"Link a unique booking",IF(OR(C170="",D170="",E170="",F170=""),"Complete guest name, Instagram, phone and pass",IF(OR(L170&lt;0,L170&gt;8,L170&lt;&gt;INT(L170),AND(ISNUMBER(K170),L170&gt;K170)),"Invalid coupon redemption",IF(AND(H170="Checked in",OR(J170&lt;&gt;"Confirmed",G170&lt;&gt;"Verified at entry",I170="")),"Check payment, age and check-in time",""))))))</x:f>
      </x:c>
    </x:row>
    <x:row r="171" ht="22" customHeight="1">
      <x:c r="A171" s="9"/>
      <x:c r="B171" s="9"/>
      <x:c r="C171" s="9"/>
      <x:c r="D171" s="9"/>
      <x:c r="E171" s="19"/>
      <x:c r="F171" s="9"/>
      <x:c r="G171" s="9"/>
      <x:c r="H171" s="9"/>
      <x:c r="I171" s="18"/>
      <x:c r="J171" s="13" t="str">
        <x:f>IF(A171="","",IF(COUNTIFS('Bookings'!$A$6:$A$205,B171)&lt;&gt;1,"Booking missing/duplicate",IF(INDEX('Bookings'!$O$6:$O$205,MATCH(B171,'Bookings'!$A$6:$A$205,0))="","Not set",INDEX('Bookings'!$O$6:$O$205,MATCH(B171,'Bookings'!$A$6:$A$205,0)))))</x:f>
      </x:c>
      <x:c r="K171" s="13" t="str">
        <x:f>IF(A171="","",IF(F171="Alcohol-inclusive",8,IF(F171="Non-alcoholic",0,"Set pass type")))</x:f>
      </x:c>
      <x:c r="L171" s="9"/>
      <x:c r="M171" s="13" t="str">
        <x:f>IF(A171="","",IF(ISNUMBER(K171),K171-L171,"Set pass type"))</x:f>
      </x:c>
      <x:c r="N171" s="13" t="str">
        <x:f>IF(A171="","",IF(COUNTIFS($A$6:$A$205,A171)&gt;1,"Duplicate ticket ID",IF(OR(B171="",J171="Booking missing/duplicate"),"Link a unique booking",IF(OR(C171="",D171="",E171="",F171=""),"Complete guest name, Instagram, phone and pass",IF(OR(L171&lt;0,L171&gt;8,L171&lt;&gt;INT(L171),AND(ISNUMBER(K171),L171&gt;K171)),"Invalid coupon redemption",IF(AND(H171="Checked in",OR(J171&lt;&gt;"Confirmed",G171&lt;&gt;"Verified at entry",I171="")),"Check payment, age and check-in time",""))))))</x:f>
      </x:c>
    </x:row>
    <x:row r="172" ht="22" customHeight="1">
      <x:c r="A172" s="9"/>
      <x:c r="B172" s="9"/>
      <x:c r="C172" s="9"/>
      <x:c r="D172" s="9"/>
      <x:c r="E172" s="19"/>
      <x:c r="F172" s="9"/>
      <x:c r="G172" s="9"/>
      <x:c r="H172" s="9"/>
      <x:c r="I172" s="18"/>
      <x:c r="J172" s="13" t="str">
        <x:f>IF(A172="","",IF(COUNTIFS('Bookings'!$A$6:$A$205,B172)&lt;&gt;1,"Booking missing/duplicate",IF(INDEX('Bookings'!$O$6:$O$205,MATCH(B172,'Bookings'!$A$6:$A$205,0))="","Not set",INDEX('Bookings'!$O$6:$O$205,MATCH(B172,'Bookings'!$A$6:$A$205,0)))))</x:f>
      </x:c>
      <x:c r="K172" s="13" t="str">
        <x:f>IF(A172="","",IF(F172="Alcohol-inclusive",8,IF(F172="Non-alcoholic",0,"Set pass type")))</x:f>
      </x:c>
      <x:c r="L172" s="9"/>
      <x:c r="M172" s="13" t="str">
        <x:f>IF(A172="","",IF(ISNUMBER(K172),K172-L172,"Set pass type"))</x:f>
      </x:c>
      <x:c r="N172" s="13" t="str">
        <x:f>IF(A172="","",IF(COUNTIFS($A$6:$A$205,A172)&gt;1,"Duplicate ticket ID",IF(OR(B172="",J172="Booking missing/duplicate"),"Link a unique booking",IF(OR(C172="",D172="",E172="",F172=""),"Complete guest name, Instagram, phone and pass",IF(OR(L172&lt;0,L172&gt;8,L172&lt;&gt;INT(L172),AND(ISNUMBER(K172),L172&gt;K172)),"Invalid coupon redemption",IF(AND(H172="Checked in",OR(J172&lt;&gt;"Confirmed",G172&lt;&gt;"Verified at entry",I172="")),"Check payment, age and check-in time",""))))))</x:f>
      </x:c>
    </x:row>
    <x:row r="173" ht="22" customHeight="1">
      <x:c r="A173" s="9"/>
      <x:c r="B173" s="9"/>
      <x:c r="C173" s="9"/>
      <x:c r="D173" s="9"/>
      <x:c r="E173" s="19"/>
      <x:c r="F173" s="9"/>
      <x:c r="G173" s="9"/>
      <x:c r="H173" s="9"/>
      <x:c r="I173" s="18"/>
      <x:c r="J173" s="13" t="str">
        <x:f>IF(A173="","",IF(COUNTIFS('Bookings'!$A$6:$A$205,B173)&lt;&gt;1,"Booking missing/duplicate",IF(INDEX('Bookings'!$O$6:$O$205,MATCH(B173,'Bookings'!$A$6:$A$205,0))="","Not set",INDEX('Bookings'!$O$6:$O$205,MATCH(B173,'Bookings'!$A$6:$A$205,0)))))</x:f>
      </x:c>
      <x:c r="K173" s="13" t="str">
        <x:f>IF(A173="","",IF(F173="Alcohol-inclusive",8,IF(F173="Non-alcoholic",0,"Set pass type")))</x:f>
      </x:c>
      <x:c r="L173" s="9"/>
      <x:c r="M173" s="13" t="str">
        <x:f>IF(A173="","",IF(ISNUMBER(K173),K173-L173,"Set pass type"))</x:f>
      </x:c>
      <x:c r="N173" s="13" t="str">
        <x:f>IF(A173="","",IF(COUNTIFS($A$6:$A$205,A173)&gt;1,"Duplicate ticket ID",IF(OR(B173="",J173="Booking missing/duplicate"),"Link a unique booking",IF(OR(C173="",D173="",E173="",F173=""),"Complete guest name, Instagram, phone and pass",IF(OR(L173&lt;0,L173&gt;8,L173&lt;&gt;INT(L173),AND(ISNUMBER(K173),L173&gt;K173)),"Invalid coupon redemption",IF(AND(H173="Checked in",OR(J173&lt;&gt;"Confirmed",G173&lt;&gt;"Verified at entry",I173="")),"Check payment, age and check-in time",""))))))</x:f>
      </x:c>
    </x:row>
    <x:row r="174" ht="22" customHeight="1">
      <x:c r="A174" s="9"/>
      <x:c r="B174" s="9"/>
      <x:c r="C174" s="9"/>
      <x:c r="D174" s="9"/>
      <x:c r="E174" s="19"/>
      <x:c r="F174" s="9"/>
      <x:c r="G174" s="9"/>
      <x:c r="H174" s="9"/>
      <x:c r="I174" s="18"/>
      <x:c r="J174" s="13" t="str">
        <x:f>IF(A174="","",IF(COUNTIFS('Bookings'!$A$6:$A$205,B174)&lt;&gt;1,"Booking missing/duplicate",IF(INDEX('Bookings'!$O$6:$O$205,MATCH(B174,'Bookings'!$A$6:$A$205,0))="","Not set",INDEX('Bookings'!$O$6:$O$205,MATCH(B174,'Bookings'!$A$6:$A$205,0)))))</x:f>
      </x:c>
      <x:c r="K174" s="13" t="str">
        <x:f>IF(A174="","",IF(F174="Alcohol-inclusive",8,IF(F174="Non-alcoholic",0,"Set pass type")))</x:f>
      </x:c>
      <x:c r="L174" s="9"/>
      <x:c r="M174" s="13" t="str">
        <x:f>IF(A174="","",IF(ISNUMBER(K174),K174-L174,"Set pass type"))</x:f>
      </x:c>
      <x:c r="N174" s="13" t="str">
        <x:f>IF(A174="","",IF(COUNTIFS($A$6:$A$205,A174)&gt;1,"Duplicate ticket ID",IF(OR(B174="",J174="Booking missing/duplicate"),"Link a unique booking",IF(OR(C174="",D174="",E174="",F174=""),"Complete guest name, Instagram, phone and pass",IF(OR(L174&lt;0,L174&gt;8,L174&lt;&gt;INT(L174),AND(ISNUMBER(K174),L174&gt;K174)),"Invalid coupon redemption",IF(AND(H174="Checked in",OR(J174&lt;&gt;"Confirmed",G174&lt;&gt;"Verified at entry",I174="")),"Check payment, age and check-in time",""))))))</x:f>
      </x:c>
    </x:row>
    <x:row r="175" ht="22" customHeight="1">
      <x:c r="A175" s="9"/>
      <x:c r="B175" s="9"/>
      <x:c r="C175" s="9"/>
      <x:c r="D175" s="9"/>
      <x:c r="E175" s="19"/>
      <x:c r="F175" s="9"/>
      <x:c r="G175" s="9"/>
      <x:c r="H175" s="9"/>
      <x:c r="I175" s="18"/>
      <x:c r="J175" s="13" t="str">
        <x:f>IF(A175="","",IF(COUNTIFS('Bookings'!$A$6:$A$205,B175)&lt;&gt;1,"Booking missing/duplicate",IF(INDEX('Bookings'!$O$6:$O$205,MATCH(B175,'Bookings'!$A$6:$A$205,0))="","Not set",INDEX('Bookings'!$O$6:$O$205,MATCH(B175,'Bookings'!$A$6:$A$205,0)))))</x:f>
      </x:c>
      <x:c r="K175" s="13" t="str">
        <x:f>IF(A175="","",IF(F175="Alcohol-inclusive",8,IF(F175="Non-alcoholic",0,"Set pass type")))</x:f>
      </x:c>
      <x:c r="L175" s="9"/>
      <x:c r="M175" s="13" t="str">
        <x:f>IF(A175="","",IF(ISNUMBER(K175),K175-L175,"Set pass type"))</x:f>
      </x:c>
      <x:c r="N175" s="13" t="str">
        <x:f>IF(A175="","",IF(COUNTIFS($A$6:$A$205,A175)&gt;1,"Duplicate ticket ID",IF(OR(B175="",J175="Booking missing/duplicate"),"Link a unique booking",IF(OR(C175="",D175="",E175="",F175=""),"Complete guest name, Instagram, phone and pass",IF(OR(L175&lt;0,L175&gt;8,L175&lt;&gt;INT(L175),AND(ISNUMBER(K175),L175&gt;K175)),"Invalid coupon redemption",IF(AND(H175="Checked in",OR(J175&lt;&gt;"Confirmed",G175&lt;&gt;"Verified at entry",I175="")),"Check payment, age and check-in time",""))))))</x:f>
      </x:c>
    </x:row>
    <x:row r="176" ht="22" customHeight="1">
      <x:c r="A176" s="9"/>
      <x:c r="B176" s="9"/>
      <x:c r="C176" s="9"/>
      <x:c r="D176" s="9"/>
      <x:c r="E176" s="19"/>
      <x:c r="F176" s="9"/>
      <x:c r="G176" s="9"/>
      <x:c r="H176" s="9"/>
      <x:c r="I176" s="18"/>
      <x:c r="J176" s="13" t="str">
        <x:f>IF(A176="","",IF(COUNTIFS('Bookings'!$A$6:$A$205,B176)&lt;&gt;1,"Booking missing/duplicate",IF(INDEX('Bookings'!$O$6:$O$205,MATCH(B176,'Bookings'!$A$6:$A$205,0))="","Not set",INDEX('Bookings'!$O$6:$O$205,MATCH(B176,'Bookings'!$A$6:$A$205,0)))))</x:f>
      </x:c>
      <x:c r="K176" s="13" t="str">
        <x:f>IF(A176="","",IF(F176="Alcohol-inclusive",8,IF(F176="Non-alcoholic",0,"Set pass type")))</x:f>
      </x:c>
      <x:c r="L176" s="9"/>
      <x:c r="M176" s="13" t="str">
        <x:f>IF(A176="","",IF(ISNUMBER(K176),K176-L176,"Set pass type"))</x:f>
      </x:c>
      <x:c r="N176" s="13" t="str">
        <x:f>IF(A176="","",IF(COUNTIFS($A$6:$A$205,A176)&gt;1,"Duplicate ticket ID",IF(OR(B176="",J176="Booking missing/duplicate"),"Link a unique booking",IF(OR(C176="",D176="",E176="",F176=""),"Complete guest name, Instagram, phone and pass",IF(OR(L176&lt;0,L176&gt;8,L176&lt;&gt;INT(L176),AND(ISNUMBER(K176),L176&gt;K176)),"Invalid coupon redemption",IF(AND(H176="Checked in",OR(J176&lt;&gt;"Confirmed",G176&lt;&gt;"Verified at entry",I176="")),"Check payment, age and check-in time",""))))))</x:f>
      </x:c>
    </x:row>
    <x:row r="177" ht="22" customHeight="1">
      <x:c r="A177" s="9"/>
      <x:c r="B177" s="9"/>
      <x:c r="C177" s="9"/>
      <x:c r="D177" s="9"/>
      <x:c r="E177" s="19"/>
      <x:c r="F177" s="9"/>
      <x:c r="G177" s="9"/>
      <x:c r="H177" s="9"/>
      <x:c r="I177" s="18"/>
      <x:c r="J177" s="13" t="str">
        <x:f>IF(A177="","",IF(COUNTIFS('Bookings'!$A$6:$A$205,B177)&lt;&gt;1,"Booking missing/duplicate",IF(INDEX('Bookings'!$O$6:$O$205,MATCH(B177,'Bookings'!$A$6:$A$205,0))="","Not set",INDEX('Bookings'!$O$6:$O$205,MATCH(B177,'Bookings'!$A$6:$A$205,0)))))</x:f>
      </x:c>
      <x:c r="K177" s="13" t="str">
        <x:f>IF(A177="","",IF(F177="Alcohol-inclusive",8,IF(F177="Non-alcoholic",0,"Set pass type")))</x:f>
      </x:c>
      <x:c r="L177" s="9"/>
      <x:c r="M177" s="13" t="str">
        <x:f>IF(A177="","",IF(ISNUMBER(K177),K177-L177,"Set pass type"))</x:f>
      </x:c>
      <x:c r="N177" s="13" t="str">
        <x:f>IF(A177="","",IF(COUNTIFS($A$6:$A$205,A177)&gt;1,"Duplicate ticket ID",IF(OR(B177="",J177="Booking missing/duplicate"),"Link a unique booking",IF(OR(C177="",D177="",E177="",F177=""),"Complete guest name, Instagram, phone and pass",IF(OR(L177&lt;0,L177&gt;8,L177&lt;&gt;INT(L177),AND(ISNUMBER(K177),L177&gt;K177)),"Invalid coupon redemption",IF(AND(H177="Checked in",OR(J177&lt;&gt;"Confirmed",G177&lt;&gt;"Verified at entry",I177="")),"Check payment, age and check-in time",""))))))</x:f>
      </x:c>
    </x:row>
    <x:row r="178" ht="22" customHeight="1">
      <x:c r="A178" s="9"/>
      <x:c r="B178" s="9"/>
      <x:c r="C178" s="9"/>
      <x:c r="D178" s="9"/>
      <x:c r="E178" s="19"/>
      <x:c r="F178" s="9"/>
      <x:c r="G178" s="9"/>
      <x:c r="H178" s="9"/>
      <x:c r="I178" s="18"/>
      <x:c r="J178" s="13" t="str">
        <x:f>IF(A178="","",IF(COUNTIFS('Bookings'!$A$6:$A$205,B178)&lt;&gt;1,"Booking missing/duplicate",IF(INDEX('Bookings'!$O$6:$O$205,MATCH(B178,'Bookings'!$A$6:$A$205,0))="","Not set",INDEX('Bookings'!$O$6:$O$205,MATCH(B178,'Bookings'!$A$6:$A$205,0)))))</x:f>
      </x:c>
      <x:c r="K178" s="13" t="str">
        <x:f>IF(A178="","",IF(F178="Alcohol-inclusive",8,IF(F178="Non-alcoholic",0,"Set pass type")))</x:f>
      </x:c>
      <x:c r="L178" s="9"/>
      <x:c r="M178" s="13" t="str">
        <x:f>IF(A178="","",IF(ISNUMBER(K178),K178-L178,"Set pass type"))</x:f>
      </x:c>
      <x:c r="N178" s="13" t="str">
        <x:f>IF(A178="","",IF(COUNTIFS($A$6:$A$205,A178)&gt;1,"Duplicate ticket ID",IF(OR(B178="",J178="Booking missing/duplicate"),"Link a unique booking",IF(OR(C178="",D178="",E178="",F178=""),"Complete guest name, Instagram, phone and pass",IF(OR(L178&lt;0,L178&gt;8,L178&lt;&gt;INT(L178),AND(ISNUMBER(K178),L178&gt;K178)),"Invalid coupon redemption",IF(AND(H178="Checked in",OR(J178&lt;&gt;"Confirmed",G178&lt;&gt;"Verified at entry",I178="")),"Check payment, age and check-in time",""))))))</x:f>
      </x:c>
    </x:row>
    <x:row r="179" ht="22" customHeight="1">
      <x:c r="A179" s="9"/>
      <x:c r="B179" s="9"/>
      <x:c r="C179" s="9"/>
      <x:c r="D179" s="9"/>
      <x:c r="E179" s="19"/>
      <x:c r="F179" s="9"/>
      <x:c r="G179" s="9"/>
      <x:c r="H179" s="9"/>
      <x:c r="I179" s="18"/>
      <x:c r="J179" s="13" t="str">
        <x:f>IF(A179="","",IF(COUNTIFS('Bookings'!$A$6:$A$205,B179)&lt;&gt;1,"Booking missing/duplicate",IF(INDEX('Bookings'!$O$6:$O$205,MATCH(B179,'Bookings'!$A$6:$A$205,0))="","Not set",INDEX('Bookings'!$O$6:$O$205,MATCH(B179,'Bookings'!$A$6:$A$205,0)))))</x:f>
      </x:c>
      <x:c r="K179" s="13" t="str">
        <x:f>IF(A179="","",IF(F179="Alcohol-inclusive",8,IF(F179="Non-alcoholic",0,"Set pass type")))</x:f>
      </x:c>
      <x:c r="L179" s="9"/>
      <x:c r="M179" s="13" t="str">
        <x:f>IF(A179="","",IF(ISNUMBER(K179),K179-L179,"Set pass type"))</x:f>
      </x:c>
      <x:c r="N179" s="13" t="str">
        <x:f>IF(A179="","",IF(COUNTIFS($A$6:$A$205,A179)&gt;1,"Duplicate ticket ID",IF(OR(B179="",J179="Booking missing/duplicate"),"Link a unique booking",IF(OR(C179="",D179="",E179="",F179=""),"Complete guest name, Instagram, phone and pass",IF(OR(L179&lt;0,L179&gt;8,L179&lt;&gt;INT(L179),AND(ISNUMBER(K179),L179&gt;K179)),"Invalid coupon redemption",IF(AND(H179="Checked in",OR(J179&lt;&gt;"Confirmed",G179&lt;&gt;"Verified at entry",I179="")),"Check payment, age and check-in time",""))))))</x:f>
      </x:c>
    </x:row>
    <x:row r="180" ht="22" customHeight="1">
      <x:c r="A180" s="9"/>
      <x:c r="B180" s="9"/>
      <x:c r="C180" s="9"/>
      <x:c r="D180" s="9"/>
      <x:c r="E180" s="19"/>
      <x:c r="F180" s="9"/>
      <x:c r="G180" s="9"/>
      <x:c r="H180" s="9"/>
      <x:c r="I180" s="18"/>
      <x:c r="J180" s="13" t="str">
        <x:f>IF(A180="","",IF(COUNTIFS('Bookings'!$A$6:$A$205,B180)&lt;&gt;1,"Booking missing/duplicate",IF(INDEX('Bookings'!$O$6:$O$205,MATCH(B180,'Bookings'!$A$6:$A$205,0))="","Not set",INDEX('Bookings'!$O$6:$O$205,MATCH(B180,'Bookings'!$A$6:$A$205,0)))))</x:f>
      </x:c>
      <x:c r="K180" s="13" t="str">
        <x:f>IF(A180="","",IF(F180="Alcohol-inclusive",8,IF(F180="Non-alcoholic",0,"Set pass type")))</x:f>
      </x:c>
      <x:c r="L180" s="9"/>
      <x:c r="M180" s="13" t="str">
        <x:f>IF(A180="","",IF(ISNUMBER(K180),K180-L180,"Set pass type"))</x:f>
      </x:c>
      <x:c r="N180" s="13" t="str">
        <x:f>IF(A180="","",IF(COUNTIFS($A$6:$A$205,A180)&gt;1,"Duplicate ticket ID",IF(OR(B180="",J180="Booking missing/duplicate"),"Link a unique booking",IF(OR(C180="",D180="",E180="",F180=""),"Complete guest name, Instagram, phone and pass",IF(OR(L180&lt;0,L180&gt;8,L180&lt;&gt;INT(L180),AND(ISNUMBER(K180),L180&gt;K180)),"Invalid coupon redemption",IF(AND(H180="Checked in",OR(J180&lt;&gt;"Confirmed",G180&lt;&gt;"Verified at entry",I180="")),"Check payment, age and check-in time",""))))))</x:f>
      </x:c>
    </x:row>
    <x:row r="181" ht="22" customHeight="1">
      <x:c r="A181" s="9"/>
      <x:c r="B181" s="9"/>
      <x:c r="C181" s="9"/>
      <x:c r="D181" s="9"/>
      <x:c r="E181" s="19"/>
      <x:c r="F181" s="9"/>
      <x:c r="G181" s="9"/>
      <x:c r="H181" s="9"/>
      <x:c r="I181" s="18"/>
      <x:c r="J181" s="13" t="str">
        <x:f>IF(A181="","",IF(COUNTIFS('Bookings'!$A$6:$A$205,B181)&lt;&gt;1,"Booking missing/duplicate",IF(INDEX('Bookings'!$O$6:$O$205,MATCH(B181,'Bookings'!$A$6:$A$205,0))="","Not set",INDEX('Bookings'!$O$6:$O$205,MATCH(B181,'Bookings'!$A$6:$A$205,0)))))</x:f>
      </x:c>
      <x:c r="K181" s="13" t="str">
        <x:f>IF(A181="","",IF(F181="Alcohol-inclusive",8,IF(F181="Non-alcoholic",0,"Set pass type")))</x:f>
      </x:c>
      <x:c r="L181" s="9"/>
      <x:c r="M181" s="13" t="str">
        <x:f>IF(A181="","",IF(ISNUMBER(K181),K181-L181,"Set pass type"))</x:f>
      </x:c>
      <x:c r="N181" s="13" t="str">
        <x:f>IF(A181="","",IF(COUNTIFS($A$6:$A$205,A181)&gt;1,"Duplicate ticket ID",IF(OR(B181="",J181="Booking missing/duplicate"),"Link a unique booking",IF(OR(C181="",D181="",E181="",F181=""),"Complete guest name, Instagram, phone and pass",IF(OR(L181&lt;0,L181&gt;8,L181&lt;&gt;INT(L181),AND(ISNUMBER(K181),L181&gt;K181)),"Invalid coupon redemption",IF(AND(H181="Checked in",OR(J181&lt;&gt;"Confirmed",G181&lt;&gt;"Verified at entry",I181="")),"Check payment, age and check-in time",""))))))</x:f>
      </x:c>
    </x:row>
    <x:row r="182" ht="22" customHeight="1">
      <x:c r="A182" s="9"/>
      <x:c r="B182" s="9"/>
      <x:c r="C182" s="9"/>
      <x:c r="D182" s="9"/>
      <x:c r="E182" s="19"/>
      <x:c r="F182" s="9"/>
      <x:c r="G182" s="9"/>
      <x:c r="H182" s="9"/>
      <x:c r="I182" s="18"/>
      <x:c r="J182" s="13" t="str">
        <x:f>IF(A182="","",IF(COUNTIFS('Bookings'!$A$6:$A$205,B182)&lt;&gt;1,"Booking missing/duplicate",IF(INDEX('Bookings'!$O$6:$O$205,MATCH(B182,'Bookings'!$A$6:$A$205,0))="","Not set",INDEX('Bookings'!$O$6:$O$205,MATCH(B182,'Bookings'!$A$6:$A$205,0)))))</x:f>
      </x:c>
      <x:c r="K182" s="13" t="str">
        <x:f>IF(A182="","",IF(F182="Alcohol-inclusive",8,IF(F182="Non-alcoholic",0,"Set pass type")))</x:f>
      </x:c>
      <x:c r="L182" s="9"/>
      <x:c r="M182" s="13" t="str">
        <x:f>IF(A182="","",IF(ISNUMBER(K182),K182-L182,"Set pass type"))</x:f>
      </x:c>
      <x:c r="N182" s="13" t="str">
        <x:f>IF(A182="","",IF(COUNTIFS($A$6:$A$205,A182)&gt;1,"Duplicate ticket ID",IF(OR(B182="",J182="Booking missing/duplicate"),"Link a unique booking",IF(OR(C182="",D182="",E182="",F182=""),"Complete guest name, Instagram, phone and pass",IF(OR(L182&lt;0,L182&gt;8,L182&lt;&gt;INT(L182),AND(ISNUMBER(K182),L182&gt;K182)),"Invalid coupon redemption",IF(AND(H182="Checked in",OR(J182&lt;&gt;"Confirmed",G182&lt;&gt;"Verified at entry",I182="")),"Check payment, age and check-in time",""))))))</x:f>
      </x:c>
    </x:row>
    <x:row r="183" ht="22" customHeight="1">
      <x:c r="A183" s="9"/>
      <x:c r="B183" s="9"/>
      <x:c r="C183" s="9"/>
      <x:c r="D183" s="9"/>
      <x:c r="E183" s="19"/>
      <x:c r="F183" s="9"/>
      <x:c r="G183" s="9"/>
      <x:c r="H183" s="9"/>
      <x:c r="I183" s="18"/>
      <x:c r="J183" s="13" t="str">
        <x:f>IF(A183="","",IF(COUNTIFS('Bookings'!$A$6:$A$205,B183)&lt;&gt;1,"Booking missing/duplicate",IF(INDEX('Bookings'!$O$6:$O$205,MATCH(B183,'Bookings'!$A$6:$A$205,0))="","Not set",INDEX('Bookings'!$O$6:$O$205,MATCH(B183,'Bookings'!$A$6:$A$205,0)))))</x:f>
      </x:c>
      <x:c r="K183" s="13" t="str">
        <x:f>IF(A183="","",IF(F183="Alcohol-inclusive",8,IF(F183="Non-alcoholic",0,"Set pass type")))</x:f>
      </x:c>
      <x:c r="L183" s="9"/>
      <x:c r="M183" s="13" t="str">
        <x:f>IF(A183="","",IF(ISNUMBER(K183),K183-L183,"Set pass type"))</x:f>
      </x:c>
      <x:c r="N183" s="13" t="str">
        <x:f>IF(A183="","",IF(COUNTIFS($A$6:$A$205,A183)&gt;1,"Duplicate ticket ID",IF(OR(B183="",J183="Booking missing/duplicate"),"Link a unique booking",IF(OR(C183="",D183="",E183="",F183=""),"Complete guest name, Instagram, phone and pass",IF(OR(L183&lt;0,L183&gt;8,L183&lt;&gt;INT(L183),AND(ISNUMBER(K183),L183&gt;K183)),"Invalid coupon redemption",IF(AND(H183="Checked in",OR(J183&lt;&gt;"Confirmed",G183&lt;&gt;"Verified at entry",I183="")),"Check payment, age and check-in time",""))))))</x:f>
      </x:c>
    </x:row>
    <x:row r="184" ht="22" customHeight="1">
      <x:c r="A184" s="9"/>
      <x:c r="B184" s="9"/>
      <x:c r="C184" s="9"/>
      <x:c r="D184" s="9"/>
      <x:c r="E184" s="19"/>
      <x:c r="F184" s="9"/>
      <x:c r="G184" s="9"/>
      <x:c r="H184" s="9"/>
      <x:c r="I184" s="18"/>
      <x:c r="J184" s="13" t="str">
        <x:f>IF(A184="","",IF(COUNTIFS('Bookings'!$A$6:$A$205,B184)&lt;&gt;1,"Booking missing/duplicate",IF(INDEX('Bookings'!$O$6:$O$205,MATCH(B184,'Bookings'!$A$6:$A$205,0))="","Not set",INDEX('Bookings'!$O$6:$O$205,MATCH(B184,'Bookings'!$A$6:$A$205,0)))))</x:f>
      </x:c>
      <x:c r="K184" s="13" t="str">
        <x:f>IF(A184="","",IF(F184="Alcohol-inclusive",8,IF(F184="Non-alcoholic",0,"Set pass type")))</x:f>
      </x:c>
      <x:c r="L184" s="9"/>
      <x:c r="M184" s="13" t="str">
        <x:f>IF(A184="","",IF(ISNUMBER(K184),K184-L184,"Set pass type"))</x:f>
      </x:c>
      <x:c r="N184" s="13" t="str">
        <x:f>IF(A184="","",IF(COUNTIFS($A$6:$A$205,A184)&gt;1,"Duplicate ticket ID",IF(OR(B184="",J184="Booking missing/duplicate"),"Link a unique booking",IF(OR(C184="",D184="",E184="",F184=""),"Complete guest name, Instagram, phone and pass",IF(OR(L184&lt;0,L184&gt;8,L184&lt;&gt;INT(L184),AND(ISNUMBER(K184),L184&gt;K184)),"Invalid coupon redemption",IF(AND(H184="Checked in",OR(J184&lt;&gt;"Confirmed",G184&lt;&gt;"Verified at entry",I184="")),"Check payment, age and check-in time",""))))))</x:f>
      </x:c>
    </x:row>
    <x:row r="185" ht="22" customHeight="1">
      <x:c r="A185" s="9"/>
      <x:c r="B185" s="9"/>
      <x:c r="C185" s="9"/>
      <x:c r="D185" s="9"/>
      <x:c r="E185" s="19"/>
      <x:c r="F185" s="9"/>
      <x:c r="G185" s="9"/>
      <x:c r="H185" s="9"/>
      <x:c r="I185" s="18"/>
      <x:c r="J185" s="13" t="str">
        <x:f>IF(A185="","",IF(COUNTIFS('Bookings'!$A$6:$A$205,B185)&lt;&gt;1,"Booking missing/duplicate",IF(INDEX('Bookings'!$O$6:$O$205,MATCH(B185,'Bookings'!$A$6:$A$205,0))="","Not set",INDEX('Bookings'!$O$6:$O$205,MATCH(B185,'Bookings'!$A$6:$A$205,0)))))</x:f>
      </x:c>
      <x:c r="K185" s="13" t="str">
        <x:f>IF(A185="","",IF(F185="Alcohol-inclusive",8,IF(F185="Non-alcoholic",0,"Set pass type")))</x:f>
      </x:c>
      <x:c r="L185" s="9"/>
      <x:c r="M185" s="13" t="str">
        <x:f>IF(A185="","",IF(ISNUMBER(K185),K185-L185,"Set pass type"))</x:f>
      </x:c>
      <x:c r="N185" s="13" t="str">
        <x:f>IF(A185="","",IF(COUNTIFS($A$6:$A$205,A185)&gt;1,"Duplicate ticket ID",IF(OR(B185="",J185="Booking missing/duplicate"),"Link a unique booking",IF(OR(C185="",D185="",E185="",F185=""),"Complete guest name, Instagram, phone and pass",IF(OR(L185&lt;0,L185&gt;8,L185&lt;&gt;INT(L185),AND(ISNUMBER(K185),L185&gt;K185)),"Invalid coupon redemption",IF(AND(H185="Checked in",OR(J185&lt;&gt;"Confirmed",G185&lt;&gt;"Verified at entry",I185="")),"Check payment, age and check-in time",""))))))</x:f>
      </x:c>
    </x:row>
    <x:row r="186" ht="22" customHeight="1">
      <x:c r="A186" s="9"/>
      <x:c r="B186" s="9"/>
      <x:c r="C186" s="9"/>
      <x:c r="D186" s="9"/>
      <x:c r="E186" s="19"/>
      <x:c r="F186" s="9"/>
      <x:c r="G186" s="9"/>
      <x:c r="H186" s="9"/>
      <x:c r="I186" s="18"/>
      <x:c r="J186" s="13" t="str">
        <x:f>IF(A186="","",IF(COUNTIFS('Bookings'!$A$6:$A$205,B186)&lt;&gt;1,"Booking missing/duplicate",IF(INDEX('Bookings'!$O$6:$O$205,MATCH(B186,'Bookings'!$A$6:$A$205,0))="","Not set",INDEX('Bookings'!$O$6:$O$205,MATCH(B186,'Bookings'!$A$6:$A$205,0)))))</x:f>
      </x:c>
      <x:c r="K186" s="13" t="str">
        <x:f>IF(A186="","",IF(F186="Alcohol-inclusive",8,IF(F186="Non-alcoholic",0,"Set pass type")))</x:f>
      </x:c>
      <x:c r="L186" s="9"/>
      <x:c r="M186" s="13" t="str">
        <x:f>IF(A186="","",IF(ISNUMBER(K186),K186-L186,"Set pass type"))</x:f>
      </x:c>
      <x:c r="N186" s="13" t="str">
        <x:f>IF(A186="","",IF(COUNTIFS($A$6:$A$205,A186)&gt;1,"Duplicate ticket ID",IF(OR(B186="",J186="Booking missing/duplicate"),"Link a unique booking",IF(OR(C186="",D186="",E186="",F186=""),"Complete guest name, Instagram, phone and pass",IF(OR(L186&lt;0,L186&gt;8,L186&lt;&gt;INT(L186),AND(ISNUMBER(K186),L186&gt;K186)),"Invalid coupon redemption",IF(AND(H186="Checked in",OR(J186&lt;&gt;"Confirmed",G186&lt;&gt;"Verified at entry",I186="")),"Check payment, age and check-in time",""))))))</x:f>
      </x:c>
    </x:row>
    <x:row r="187" ht="22" customHeight="1">
      <x:c r="A187" s="9"/>
      <x:c r="B187" s="9"/>
      <x:c r="C187" s="9"/>
      <x:c r="D187" s="9"/>
      <x:c r="E187" s="19"/>
      <x:c r="F187" s="9"/>
      <x:c r="G187" s="9"/>
      <x:c r="H187" s="9"/>
      <x:c r="I187" s="18"/>
      <x:c r="J187" s="13" t="str">
        <x:f>IF(A187="","",IF(COUNTIFS('Bookings'!$A$6:$A$205,B187)&lt;&gt;1,"Booking missing/duplicate",IF(INDEX('Bookings'!$O$6:$O$205,MATCH(B187,'Bookings'!$A$6:$A$205,0))="","Not set",INDEX('Bookings'!$O$6:$O$205,MATCH(B187,'Bookings'!$A$6:$A$205,0)))))</x:f>
      </x:c>
      <x:c r="K187" s="13" t="str">
        <x:f>IF(A187="","",IF(F187="Alcohol-inclusive",8,IF(F187="Non-alcoholic",0,"Set pass type")))</x:f>
      </x:c>
      <x:c r="L187" s="9"/>
      <x:c r="M187" s="13" t="str">
        <x:f>IF(A187="","",IF(ISNUMBER(K187),K187-L187,"Set pass type"))</x:f>
      </x:c>
      <x:c r="N187" s="13" t="str">
        <x:f>IF(A187="","",IF(COUNTIFS($A$6:$A$205,A187)&gt;1,"Duplicate ticket ID",IF(OR(B187="",J187="Booking missing/duplicate"),"Link a unique booking",IF(OR(C187="",D187="",E187="",F187=""),"Complete guest name, Instagram, phone and pass",IF(OR(L187&lt;0,L187&gt;8,L187&lt;&gt;INT(L187),AND(ISNUMBER(K187),L187&gt;K187)),"Invalid coupon redemption",IF(AND(H187="Checked in",OR(J187&lt;&gt;"Confirmed",G187&lt;&gt;"Verified at entry",I187="")),"Check payment, age and check-in time",""))))))</x:f>
      </x:c>
    </x:row>
    <x:row r="188" ht="22" customHeight="1">
      <x:c r="A188" s="9"/>
      <x:c r="B188" s="9"/>
      <x:c r="C188" s="9"/>
      <x:c r="D188" s="9"/>
      <x:c r="E188" s="19"/>
      <x:c r="F188" s="9"/>
      <x:c r="G188" s="9"/>
      <x:c r="H188" s="9"/>
      <x:c r="I188" s="18"/>
      <x:c r="J188" s="13" t="str">
        <x:f>IF(A188="","",IF(COUNTIFS('Bookings'!$A$6:$A$205,B188)&lt;&gt;1,"Booking missing/duplicate",IF(INDEX('Bookings'!$O$6:$O$205,MATCH(B188,'Bookings'!$A$6:$A$205,0))="","Not set",INDEX('Bookings'!$O$6:$O$205,MATCH(B188,'Bookings'!$A$6:$A$205,0)))))</x:f>
      </x:c>
      <x:c r="K188" s="13" t="str">
        <x:f>IF(A188="","",IF(F188="Alcohol-inclusive",8,IF(F188="Non-alcoholic",0,"Set pass type")))</x:f>
      </x:c>
      <x:c r="L188" s="9"/>
      <x:c r="M188" s="13" t="str">
        <x:f>IF(A188="","",IF(ISNUMBER(K188),K188-L188,"Set pass type"))</x:f>
      </x:c>
      <x:c r="N188" s="13" t="str">
        <x:f>IF(A188="","",IF(COUNTIFS($A$6:$A$205,A188)&gt;1,"Duplicate ticket ID",IF(OR(B188="",J188="Booking missing/duplicate"),"Link a unique booking",IF(OR(C188="",D188="",E188="",F188=""),"Complete guest name, Instagram, phone and pass",IF(OR(L188&lt;0,L188&gt;8,L188&lt;&gt;INT(L188),AND(ISNUMBER(K188),L188&gt;K188)),"Invalid coupon redemption",IF(AND(H188="Checked in",OR(J188&lt;&gt;"Confirmed",G188&lt;&gt;"Verified at entry",I188="")),"Check payment, age and check-in time",""))))))</x:f>
      </x:c>
    </x:row>
    <x:row r="189" ht="22" customHeight="1">
      <x:c r="A189" s="9"/>
      <x:c r="B189" s="9"/>
      <x:c r="C189" s="9"/>
      <x:c r="D189" s="9"/>
      <x:c r="E189" s="19"/>
      <x:c r="F189" s="9"/>
      <x:c r="G189" s="9"/>
      <x:c r="H189" s="9"/>
      <x:c r="I189" s="18"/>
      <x:c r="J189" s="13" t="str">
        <x:f>IF(A189="","",IF(COUNTIFS('Bookings'!$A$6:$A$205,B189)&lt;&gt;1,"Booking missing/duplicate",IF(INDEX('Bookings'!$O$6:$O$205,MATCH(B189,'Bookings'!$A$6:$A$205,0))="","Not set",INDEX('Bookings'!$O$6:$O$205,MATCH(B189,'Bookings'!$A$6:$A$205,0)))))</x:f>
      </x:c>
      <x:c r="K189" s="13" t="str">
        <x:f>IF(A189="","",IF(F189="Alcohol-inclusive",8,IF(F189="Non-alcoholic",0,"Set pass type")))</x:f>
      </x:c>
      <x:c r="L189" s="9"/>
      <x:c r="M189" s="13" t="str">
        <x:f>IF(A189="","",IF(ISNUMBER(K189),K189-L189,"Set pass type"))</x:f>
      </x:c>
      <x:c r="N189" s="13" t="str">
        <x:f>IF(A189="","",IF(COUNTIFS($A$6:$A$205,A189)&gt;1,"Duplicate ticket ID",IF(OR(B189="",J189="Booking missing/duplicate"),"Link a unique booking",IF(OR(C189="",D189="",E189="",F189=""),"Complete guest name, Instagram, phone and pass",IF(OR(L189&lt;0,L189&gt;8,L189&lt;&gt;INT(L189),AND(ISNUMBER(K189),L189&gt;K189)),"Invalid coupon redemption",IF(AND(H189="Checked in",OR(J189&lt;&gt;"Confirmed",G189&lt;&gt;"Verified at entry",I189="")),"Check payment, age and check-in time",""))))))</x:f>
      </x:c>
    </x:row>
    <x:row r="190" ht="22" customHeight="1">
      <x:c r="A190" s="9"/>
      <x:c r="B190" s="9"/>
      <x:c r="C190" s="9"/>
      <x:c r="D190" s="9"/>
      <x:c r="E190" s="19"/>
      <x:c r="F190" s="9"/>
      <x:c r="G190" s="9"/>
      <x:c r="H190" s="9"/>
      <x:c r="I190" s="18"/>
      <x:c r="J190" s="13" t="str">
        <x:f>IF(A190="","",IF(COUNTIFS('Bookings'!$A$6:$A$205,B190)&lt;&gt;1,"Booking missing/duplicate",IF(INDEX('Bookings'!$O$6:$O$205,MATCH(B190,'Bookings'!$A$6:$A$205,0))="","Not set",INDEX('Bookings'!$O$6:$O$205,MATCH(B190,'Bookings'!$A$6:$A$205,0)))))</x:f>
      </x:c>
      <x:c r="K190" s="13" t="str">
        <x:f>IF(A190="","",IF(F190="Alcohol-inclusive",8,IF(F190="Non-alcoholic",0,"Set pass type")))</x:f>
      </x:c>
      <x:c r="L190" s="9"/>
      <x:c r="M190" s="13" t="str">
        <x:f>IF(A190="","",IF(ISNUMBER(K190),K190-L190,"Set pass type"))</x:f>
      </x:c>
      <x:c r="N190" s="13" t="str">
        <x:f>IF(A190="","",IF(COUNTIFS($A$6:$A$205,A190)&gt;1,"Duplicate ticket ID",IF(OR(B190="",J190="Booking missing/duplicate"),"Link a unique booking",IF(OR(C190="",D190="",E190="",F190=""),"Complete guest name, Instagram, phone and pass",IF(OR(L190&lt;0,L190&gt;8,L190&lt;&gt;INT(L190),AND(ISNUMBER(K190),L190&gt;K190)),"Invalid coupon redemption",IF(AND(H190="Checked in",OR(J190&lt;&gt;"Confirmed",G190&lt;&gt;"Verified at entry",I190="")),"Check payment, age and check-in time",""))))))</x:f>
      </x:c>
    </x:row>
    <x:row r="191" ht="22" customHeight="1">
      <x:c r="A191" s="9"/>
      <x:c r="B191" s="9"/>
      <x:c r="C191" s="9"/>
      <x:c r="D191" s="9"/>
      <x:c r="E191" s="19"/>
      <x:c r="F191" s="9"/>
      <x:c r="G191" s="9"/>
      <x:c r="H191" s="9"/>
      <x:c r="I191" s="18"/>
      <x:c r="J191" s="13" t="str">
        <x:f>IF(A191="","",IF(COUNTIFS('Bookings'!$A$6:$A$205,B191)&lt;&gt;1,"Booking missing/duplicate",IF(INDEX('Bookings'!$O$6:$O$205,MATCH(B191,'Bookings'!$A$6:$A$205,0))="","Not set",INDEX('Bookings'!$O$6:$O$205,MATCH(B191,'Bookings'!$A$6:$A$205,0)))))</x:f>
      </x:c>
      <x:c r="K191" s="13" t="str">
        <x:f>IF(A191="","",IF(F191="Alcohol-inclusive",8,IF(F191="Non-alcoholic",0,"Set pass type")))</x:f>
      </x:c>
      <x:c r="L191" s="9"/>
      <x:c r="M191" s="13" t="str">
        <x:f>IF(A191="","",IF(ISNUMBER(K191),K191-L191,"Set pass type"))</x:f>
      </x:c>
      <x:c r="N191" s="13" t="str">
        <x:f>IF(A191="","",IF(COUNTIFS($A$6:$A$205,A191)&gt;1,"Duplicate ticket ID",IF(OR(B191="",J191="Booking missing/duplicate"),"Link a unique booking",IF(OR(C191="",D191="",E191="",F191=""),"Complete guest name, Instagram, phone and pass",IF(OR(L191&lt;0,L191&gt;8,L191&lt;&gt;INT(L191),AND(ISNUMBER(K191),L191&gt;K191)),"Invalid coupon redemption",IF(AND(H191="Checked in",OR(J191&lt;&gt;"Confirmed",G191&lt;&gt;"Verified at entry",I191="")),"Check payment, age and check-in time",""))))))</x:f>
      </x:c>
    </x:row>
    <x:row r="192" ht="22" customHeight="1">
      <x:c r="A192" s="9"/>
      <x:c r="B192" s="9"/>
      <x:c r="C192" s="9"/>
      <x:c r="D192" s="9"/>
      <x:c r="E192" s="19"/>
      <x:c r="F192" s="9"/>
      <x:c r="G192" s="9"/>
      <x:c r="H192" s="9"/>
      <x:c r="I192" s="18"/>
      <x:c r="J192" s="13" t="str">
        <x:f>IF(A192="","",IF(COUNTIFS('Bookings'!$A$6:$A$205,B192)&lt;&gt;1,"Booking missing/duplicate",IF(INDEX('Bookings'!$O$6:$O$205,MATCH(B192,'Bookings'!$A$6:$A$205,0))="","Not set",INDEX('Bookings'!$O$6:$O$205,MATCH(B192,'Bookings'!$A$6:$A$205,0)))))</x:f>
      </x:c>
      <x:c r="K192" s="13" t="str">
        <x:f>IF(A192="","",IF(F192="Alcohol-inclusive",8,IF(F192="Non-alcoholic",0,"Set pass type")))</x:f>
      </x:c>
      <x:c r="L192" s="9"/>
      <x:c r="M192" s="13" t="str">
        <x:f>IF(A192="","",IF(ISNUMBER(K192),K192-L192,"Set pass type"))</x:f>
      </x:c>
      <x:c r="N192" s="13" t="str">
        <x:f>IF(A192="","",IF(COUNTIFS($A$6:$A$205,A192)&gt;1,"Duplicate ticket ID",IF(OR(B192="",J192="Booking missing/duplicate"),"Link a unique booking",IF(OR(C192="",D192="",E192="",F192=""),"Complete guest name, Instagram, phone and pass",IF(OR(L192&lt;0,L192&gt;8,L192&lt;&gt;INT(L192),AND(ISNUMBER(K192),L192&gt;K192)),"Invalid coupon redemption",IF(AND(H192="Checked in",OR(J192&lt;&gt;"Confirmed",G192&lt;&gt;"Verified at entry",I192="")),"Check payment, age and check-in time",""))))))</x:f>
      </x:c>
    </x:row>
    <x:row r="193" ht="22" customHeight="1">
      <x:c r="A193" s="9"/>
      <x:c r="B193" s="9"/>
      <x:c r="C193" s="9"/>
      <x:c r="D193" s="9"/>
      <x:c r="E193" s="19"/>
      <x:c r="F193" s="9"/>
      <x:c r="G193" s="9"/>
      <x:c r="H193" s="9"/>
      <x:c r="I193" s="18"/>
      <x:c r="J193" s="13" t="str">
        <x:f>IF(A193="","",IF(COUNTIFS('Bookings'!$A$6:$A$205,B193)&lt;&gt;1,"Booking missing/duplicate",IF(INDEX('Bookings'!$O$6:$O$205,MATCH(B193,'Bookings'!$A$6:$A$205,0))="","Not set",INDEX('Bookings'!$O$6:$O$205,MATCH(B193,'Bookings'!$A$6:$A$205,0)))))</x:f>
      </x:c>
      <x:c r="K193" s="13" t="str">
        <x:f>IF(A193="","",IF(F193="Alcohol-inclusive",8,IF(F193="Non-alcoholic",0,"Set pass type")))</x:f>
      </x:c>
      <x:c r="L193" s="9"/>
      <x:c r="M193" s="13" t="str">
        <x:f>IF(A193="","",IF(ISNUMBER(K193),K193-L193,"Set pass type"))</x:f>
      </x:c>
      <x:c r="N193" s="13" t="str">
        <x:f>IF(A193="","",IF(COUNTIFS($A$6:$A$205,A193)&gt;1,"Duplicate ticket ID",IF(OR(B193="",J193="Booking missing/duplicate"),"Link a unique booking",IF(OR(C193="",D193="",E193="",F193=""),"Complete guest name, Instagram, phone and pass",IF(OR(L193&lt;0,L193&gt;8,L193&lt;&gt;INT(L193),AND(ISNUMBER(K193),L193&gt;K193)),"Invalid coupon redemption",IF(AND(H193="Checked in",OR(J193&lt;&gt;"Confirmed",G193&lt;&gt;"Verified at entry",I193="")),"Check payment, age and check-in time",""))))))</x:f>
      </x:c>
    </x:row>
    <x:row r="194" ht="22" customHeight="1">
      <x:c r="A194" s="9"/>
      <x:c r="B194" s="9"/>
      <x:c r="C194" s="9"/>
      <x:c r="D194" s="9"/>
      <x:c r="E194" s="19"/>
      <x:c r="F194" s="9"/>
      <x:c r="G194" s="9"/>
      <x:c r="H194" s="9"/>
      <x:c r="I194" s="18"/>
      <x:c r="J194" s="13" t="str">
        <x:f>IF(A194="","",IF(COUNTIFS('Bookings'!$A$6:$A$205,B194)&lt;&gt;1,"Booking missing/duplicate",IF(INDEX('Bookings'!$O$6:$O$205,MATCH(B194,'Bookings'!$A$6:$A$205,0))="","Not set",INDEX('Bookings'!$O$6:$O$205,MATCH(B194,'Bookings'!$A$6:$A$205,0)))))</x:f>
      </x:c>
      <x:c r="K194" s="13" t="str">
        <x:f>IF(A194="","",IF(F194="Alcohol-inclusive",8,IF(F194="Non-alcoholic",0,"Set pass type")))</x:f>
      </x:c>
      <x:c r="L194" s="9"/>
      <x:c r="M194" s="13" t="str">
        <x:f>IF(A194="","",IF(ISNUMBER(K194),K194-L194,"Set pass type"))</x:f>
      </x:c>
      <x:c r="N194" s="13" t="str">
        <x:f>IF(A194="","",IF(COUNTIFS($A$6:$A$205,A194)&gt;1,"Duplicate ticket ID",IF(OR(B194="",J194="Booking missing/duplicate"),"Link a unique booking",IF(OR(C194="",D194="",E194="",F194=""),"Complete guest name, Instagram, phone and pass",IF(OR(L194&lt;0,L194&gt;8,L194&lt;&gt;INT(L194),AND(ISNUMBER(K194),L194&gt;K194)),"Invalid coupon redemption",IF(AND(H194="Checked in",OR(J194&lt;&gt;"Confirmed",G194&lt;&gt;"Verified at entry",I194="")),"Check payment, age and check-in time",""))))))</x:f>
      </x:c>
    </x:row>
    <x:row r="195" ht="22" customHeight="1">
      <x:c r="A195" s="9"/>
      <x:c r="B195" s="9"/>
      <x:c r="C195" s="9"/>
      <x:c r="D195" s="9"/>
      <x:c r="E195" s="19"/>
      <x:c r="F195" s="9"/>
      <x:c r="G195" s="9"/>
      <x:c r="H195" s="9"/>
      <x:c r="I195" s="18"/>
      <x:c r="J195" s="13" t="str">
        <x:f>IF(A195="","",IF(COUNTIFS('Bookings'!$A$6:$A$205,B195)&lt;&gt;1,"Booking missing/duplicate",IF(INDEX('Bookings'!$O$6:$O$205,MATCH(B195,'Bookings'!$A$6:$A$205,0))="","Not set",INDEX('Bookings'!$O$6:$O$205,MATCH(B195,'Bookings'!$A$6:$A$205,0)))))</x:f>
      </x:c>
      <x:c r="K195" s="13" t="str">
        <x:f>IF(A195="","",IF(F195="Alcohol-inclusive",8,IF(F195="Non-alcoholic",0,"Set pass type")))</x:f>
      </x:c>
      <x:c r="L195" s="9"/>
      <x:c r="M195" s="13" t="str">
        <x:f>IF(A195="","",IF(ISNUMBER(K195),K195-L195,"Set pass type"))</x:f>
      </x:c>
      <x:c r="N195" s="13" t="str">
        <x:f>IF(A195="","",IF(COUNTIFS($A$6:$A$205,A195)&gt;1,"Duplicate ticket ID",IF(OR(B195="",J195="Booking missing/duplicate"),"Link a unique booking",IF(OR(C195="",D195="",E195="",F195=""),"Complete guest name, Instagram, phone and pass",IF(OR(L195&lt;0,L195&gt;8,L195&lt;&gt;INT(L195),AND(ISNUMBER(K195),L195&gt;K195)),"Invalid coupon redemption",IF(AND(H195="Checked in",OR(J195&lt;&gt;"Confirmed",G195&lt;&gt;"Verified at entry",I195="")),"Check payment, age and check-in time",""))))))</x:f>
      </x:c>
    </x:row>
    <x:row r="196" ht="22" customHeight="1">
      <x:c r="A196" s="9"/>
      <x:c r="B196" s="9"/>
      <x:c r="C196" s="9"/>
      <x:c r="D196" s="9"/>
      <x:c r="E196" s="19"/>
      <x:c r="F196" s="9"/>
      <x:c r="G196" s="9"/>
      <x:c r="H196" s="9"/>
      <x:c r="I196" s="18"/>
      <x:c r="J196" s="13" t="str">
        <x:f>IF(A196="","",IF(COUNTIFS('Bookings'!$A$6:$A$205,B196)&lt;&gt;1,"Booking missing/duplicate",IF(INDEX('Bookings'!$O$6:$O$205,MATCH(B196,'Bookings'!$A$6:$A$205,0))="","Not set",INDEX('Bookings'!$O$6:$O$205,MATCH(B196,'Bookings'!$A$6:$A$205,0)))))</x:f>
      </x:c>
      <x:c r="K196" s="13" t="str">
        <x:f>IF(A196="","",IF(F196="Alcohol-inclusive",8,IF(F196="Non-alcoholic",0,"Set pass type")))</x:f>
      </x:c>
      <x:c r="L196" s="9"/>
      <x:c r="M196" s="13" t="str">
        <x:f>IF(A196="","",IF(ISNUMBER(K196),K196-L196,"Set pass type"))</x:f>
      </x:c>
      <x:c r="N196" s="13" t="str">
        <x:f>IF(A196="","",IF(COUNTIFS($A$6:$A$205,A196)&gt;1,"Duplicate ticket ID",IF(OR(B196="",J196="Booking missing/duplicate"),"Link a unique booking",IF(OR(C196="",D196="",E196="",F196=""),"Complete guest name, Instagram, phone and pass",IF(OR(L196&lt;0,L196&gt;8,L196&lt;&gt;INT(L196),AND(ISNUMBER(K196),L196&gt;K196)),"Invalid coupon redemption",IF(AND(H196="Checked in",OR(J196&lt;&gt;"Confirmed",G196&lt;&gt;"Verified at entry",I196="")),"Check payment, age and check-in time",""))))))</x:f>
      </x:c>
    </x:row>
    <x:row r="197" ht="22" customHeight="1">
      <x:c r="A197" s="9"/>
      <x:c r="B197" s="9"/>
      <x:c r="C197" s="9"/>
      <x:c r="D197" s="9"/>
      <x:c r="E197" s="19"/>
      <x:c r="F197" s="9"/>
      <x:c r="G197" s="9"/>
      <x:c r="H197" s="9"/>
      <x:c r="I197" s="18"/>
      <x:c r="J197" s="13" t="str">
        <x:f>IF(A197="","",IF(COUNTIFS('Bookings'!$A$6:$A$205,B197)&lt;&gt;1,"Booking missing/duplicate",IF(INDEX('Bookings'!$O$6:$O$205,MATCH(B197,'Bookings'!$A$6:$A$205,0))="","Not set",INDEX('Bookings'!$O$6:$O$205,MATCH(B197,'Bookings'!$A$6:$A$205,0)))))</x:f>
      </x:c>
      <x:c r="K197" s="13" t="str">
        <x:f>IF(A197="","",IF(F197="Alcohol-inclusive",8,IF(F197="Non-alcoholic",0,"Set pass type")))</x:f>
      </x:c>
      <x:c r="L197" s="9"/>
      <x:c r="M197" s="13" t="str">
        <x:f>IF(A197="","",IF(ISNUMBER(K197),K197-L197,"Set pass type"))</x:f>
      </x:c>
      <x:c r="N197" s="13" t="str">
        <x:f>IF(A197="","",IF(COUNTIFS($A$6:$A$205,A197)&gt;1,"Duplicate ticket ID",IF(OR(B197="",J197="Booking missing/duplicate"),"Link a unique booking",IF(OR(C197="",D197="",E197="",F197=""),"Complete guest name, Instagram, phone and pass",IF(OR(L197&lt;0,L197&gt;8,L197&lt;&gt;INT(L197),AND(ISNUMBER(K197),L197&gt;K197)),"Invalid coupon redemption",IF(AND(H197="Checked in",OR(J197&lt;&gt;"Confirmed",G197&lt;&gt;"Verified at entry",I197="")),"Check payment, age and check-in time",""))))))</x:f>
      </x:c>
    </x:row>
    <x:row r="198" ht="22" customHeight="1">
      <x:c r="A198" s="9"/>
      <x:c r="B198" s="9"/>
      <x:c r="C198" s="9"/>
      <x:c r="D198" s="9"/>
      <x:c r="E198" s="19"/>
      <x:c r="F198" s="9"/>
      <x:c r="G198" s="9"/>
      <x:c r="H198" s="9"/>
      <x:c r="I198" s="18"/>
      <x:c r="J198" s="13" t="str">
        <x:f>IF(A198="","",IF(COUNTIFS('Bookings'!$A$6:$A$205,B198)&lt;&gt;1,"Booking missing/duplicate",IF(INDEX('Bookings'!$O$6:$O$205,MATCH(B198,'Bookings'!$A$6:$A$205,0))="","Not set",INDEX('Bookings'!$O$6:$O$205,MATCH(B198,'Bookings'!$A$6:$A$205,0)))))</x:f>
      </x:c>
      <x:c r="K198" s="13" t="str">
        <x:f>IF(A198="","",IF(F198="Alcohol-inclusive",8,IF(F198="Non-alcoholic",0,"Set pass type")))</x:f>
      </x:c>
      <x:c r="L198" s="9"/>
      <x:c r="M198" s="13" t="str">
        <x:f>IF(A198="","",IF(ISNUMBER(K198),K198-L198,"Set pass type"))</x:f>
      </x:c>
      <x:c r="N198" s="13" t="str">
        <x:f>IF(A198="","",IF(COUNTIFS($A$6:$A$205,A198)&gt;1,"Duplicate ticket ID",IF(OR(B198="",J198="Booking missing/duplicate"),"Link a unique booking",IF(OR(C198="",D198="",E198="",F198=""),"Complete guest name, Instagram, phone and pass",IF(OR(L198&lt;0,L198&gt;8,L198&lt;&gt;INT(L198),AND(ISNUMBER(K198),L198&gt;K198)),"Invalid coupon redemption",IF(AND(H198="Checked in",OR(J198&lt;&gt;"Confirmed",G198&lt;&gt;"Verified at entry",I198="")),"Check payment, age and check-in time",""))))))</x:f>
      </x:c>
    </x:row>
    <x:row r="199" ht="22" customHeight="1">
      <x:c r="A199" s="9"/>
      <x:c r="B199" s="9"/>
      <x:c r="C199" s="9"/>
      <x:c r="D199" s="9"/>
      <x:c r="E199" s="19"/>
      <x:c r="F199" s="9"/>
      <x:c r="G199" s="9"/>
      <x:c r="H199" s="9"/>
      <x:c r="I199" s="18"/>
      <x:c r="J199" s="13" t="str">
        <x:f>IF(A199="","",IF(COUNTIFS('Bookings'!$A$6:$A$205,B199)&lt;&gt;1,"Booking missing/duplicate",IF(INDEX('Bookings'!$O$6:$O$205,MATCH(B199,'Bookings'!$A$6:$A$205,0))="","Not set",INDEX('Bookings'!$O$6:$O$205,MATCH(B199,'Bookings'!$A$6:$A$205,0)))))</x:f>
      </x:c>
      <x:c r="K199" s="13" t="str">
        <x:f>IF(A199="","",IF(F199="Alcohol-inclusive",8,IF(F199="Non-alcoholic",0,"Set pass type")))</x:f>
      </x:c>
      <x:c r="L199" s="9"/>
      <x:c r="M199" s="13" t="str">
        <x:f>IF(A199="","",IF(ISNUMBER(K199),K199-L199,"Set pass type"))</x:f>
      </x:c>
      <x:c r="N199" s="13" t="str">
        <x:f>IF(A199="","",IF(COUNTIFS($A$6:$A$205,A199)&gt;1,"Duplicate ticket ID",IF(OR(B199="",J199="Booking missing/duplicate"),"Link a unique booking",IF(OR(C199="",D199="",E199="",F199=""),"Complete guest name, Instagram, phone and pass",IF(OR(L199&lt;0,L199&gt;8,L199&lt;&gt;INT(L199),AND(ISNUMBER(K199),L199&gt;K199)),"Invalid coupon redemption",IF(AND(H199="Checked in",OR(J199&lt;&gt;"Confirmed",G199&lt;&gt;"Verified at entry",I199="")),"Check payment, age and check-in time",""))))))</x:f>
      </x:c>
    </x:row>
    <x:row r="200" ht="22" customHeight="1">
      <x:c r="A200" s="9"/>
      <x:c r="B200" s="9"/>
      <x:c r="C200" s="9"/>
      <x:c r="D200" s="9"/>
      <x:c r="E200" s="19"/>
      <x:c r="F200" s="9"/>
      <x:c r="G200" s="9"/>
      <x:c r="H200" s="9"/>
      <x:c r="I200" s="18"/>
      <x:c r="J200" s="13" t="str">
        <x:f>IF(A200="","",IF(COUNTIFS('Bookings'!$A$6:$A$205,B200)&lt;&gt;1,"Booking missing/duplicate",IF(INDEX('Bookings'!$O$6:$O$205,MATCH(B200,'Bookings'!$A$6:$A$205,0))="","Not set",INDEX('Bookings'!$O$6:$O$205,MATCH(B200,'Bookings'!$A$6:$A$205,0)))))</x:f>
      </x:c>
      <x:c r="K200" s="13" t="str">
        <x:f>IF(A200="","",IF(F200="Alcohol-inclusive",8,IF(F200="Non-alcoholic",0,"Set pass type")))</x:f>
      </x:c>
      <x:c r="L200" s="9"/>
      <x:c r="M200" s="13" t="str">
        <x:f>IF(A200="","",IF(ISNUMBER(K200),K200-L200,"Set pass type"))</x:f>
      </x:c>
      <x:c r="N200" s="13" t="str">
        <x:f>IF(A200="","",IF(COUNTIFS($A$6:$A$205,A200)&gt;1,"Duplicate ticket ID",IF(OR(B200="",J200="Booking missing/duplicate"),"Link a unique booking",IF(OR(C200="",D200="",E200="",F200=""),"Complete guest name, Instagram, phone and pass",IF(OR(L200&lt;0,L200&gt;8,L200&lt;&gt;INT(L200),AND(ISNUMBER(K200),L200&gt;K200)),"Invalid coupon redemption",IF(AND(H200="Checked in",OR(J200&lt;&gt;"Confirmed",G200&lt;&gt;"Verified at entry",I200="")),"Check payment, age and check-in time",""))))))</x:f>
      </x:c>
    </x:row>
    <x:row r="201" ht="22" customHeight="1">
      <x:c r="A201" s="9"/>
      <x:c r="B201" s="9"/>
      <x:c r="C201" s="9"/>
      <x:c r="D201" s="9"/>
      <x:c r="E201" s="19"/>
      <x:c r="F201" s="9"/>
      <x:c r="G201" s="9"/>
      <x:c r="H201" s="9"/>
      <x:c r="I201" s="18"/>
      <x:c r="J201" s="13" t="str">
        <x:f>IF(A201="","",IF(COUNTIFS('Bookings'!$A$6:$A$205,B201)&lt;&gt;1,"Booking missing/duplicate",IF(INDEX('Bookings'!$O$6:$O$205,MATCH(B201,'Bookings'!$A$6:$A$205,0))="","Not set",INDEX('Bookings'!$O$6:$O$205,MATCH(B201,'Bookings'!$A$6:$A$205,0)))))</x:f>
      </x:c>
      <x:c r="K201" s="13" t="str">
        <x:f>IF(A201="","",IF(F201="Alcohol-inclusive",8,IF(F201="Non-alcoholic",0,"Set pass type")))</x:f>
      </x:c>
      <x:c r="L201" s="9"/>
      <x:c r="M201" s="13" t="str">
        <x:f>IF(A201="","",IF(ISNUMBER(K201),K201-L201,"Set pass type"))</x:f>
      </x:c>
      <x:c r="N201" s="13" t="str">
        <x:f>IF(A201="","",IF(COUNTIFS($A$6:$A$205,A201)&gt;1,"Duplicate ticket ID",IF(OR(B201="",J201="Booking missing/duplicate"),"Link a unique booking",IF(OR(C201="",D201="",E201="",F201=""),"Complete guest name, Instagram, phone and pass",IF(OR(L201&lt;0,L201&gt;8,L201&lt;&gt;INT(L201),AND(ISNUMBER(K201),L201&gt;K201)),"Invalid coupon redemption",IF(AND(H201="Checked in",OR(J201&lt;&gt;"Confirmed",G201&lt;&gt;"Verified at entry",I201="")),"Check payment, age and check-in time",""))))))</x:f>
      </x:c>
    </x:row>
    <x:row r="202" ht="22" customHeight="1">
      <x:c r="A202" s="9"/>
      <x:c r="B202" s="9"/>
      <x:c r="C202" s="9"/>
      <x:c r="D202" s="9"/>
      <x:c r="E202" s="19"/>
      <x:c r="F202" s="9"/>
      <x:c r="G202" s="9"/>
      <x:c r="H202" s="9"/>
      <x:c r="I202" s="18"/>
      <x:c r="J202" s="13" t="str">
        <x:f>IF(A202="","",IF(COUNTIFS('Bookings'!$A$6:$A$205,B202)&lt;&gt;1,"Booking missing/duplicate",IF(INDEX('Bookings'!$O$6:$O$205,MATCH(B202,'Bookings'!$A$6:$A$205,0))="","Not set",INDEX('Bookings'!$O$6:$O$205,MATCH(B202,'Bookings'!$A$6:$A$205,0)))))</x:f>
      </x:c>
      <x:c r="K202" s="13" t="str">
        <x:f>IF(A202="","",IF(F202="Alcohol-inclusive",8,IF(F202="Non-alcoholic",0,"Set pass type")))</x:f>
      </x:c>
      <x:c r="L202" s="9"/>
      <x:c r="M202" s="13" t="str">
        <x:f>IF(A202="","",IF(ISNUMBER(K202),K202-L202,"Set pass type"))</x:f>
      </x:c>
      <x:c r="N202" s="13" t="str">
        <x:f>IF(A202="","",IF(COUNTIFS($A$6:$A$205,A202)&gt;1,"Duplicate ticket ID",IF(OR(B202="",J202="Booking missing/duplicate"),"Link a unique booking",IF(OR(C202="",D202="",E202="",F202=""),"Complete guest name, Instagram, phone and pass",IF(OR(L202&lt;0,L202&gt;8,L202&lt;&gt;INT(L202),AND(ISNUMBER(K202),L202&gt;K202)),"Invalid coupon redemption",IF(AND(H202="Checked in",OR(J202&lt;&gt;"Confirmed",G202&lt;&gt;"Verified at entry",I202="")),"Check payment, age and check-in time",""))))))</x:f>
      </x:c>
    </x:row>
    <x:row r="203" ht="22" customHeight="1">
      <x:c r="A203" s="9"/>
      <x:c r="B203" s="9"/>
      <x:c r="C203" s="9"/>
      <x:c r="D203" s="9"/>
      <x:c r="E203" s="19"/>
      <x:c r="F203" s="9"/>
      <x:c r="G203" s="9"/>
      <x:c r="H203" s="9"/>
      <x:c r="I203" s="18"/>
      <x:c r="J203" s="13" t="str">
        <x:f>IF(A203="","",IF(COUNTIFS('Bookings'!$A$6:$A$205,B203)&lt;&gt;1,"Booking missing/duplicate",IF(INDEX('Bookings'!$O$6:$O$205,MATCH(B203,'Bookings'!$A$6:$A$205,0))="","Not set",INDEX('Bookings'!$O$6:$O$205,MATCH(B203,'Bookings'!$A$6:$A$205,0)))))</x:f>
      </x:c>
      <x:c r="K203" s="13" t="str">
        <x:f>IF(A203="","",IF(F203="Alcohol-inclusive",8,IF(F203="Non-alcoholic",0,"Set pass type")))</x:f>
      </x:c>
      <x:c r="L203" s="9"/>
      <x:c r="M203" s="13" t="str">
        <x:f>IF(A203="","",IF(ISNUMBER(K203),K203-L203,"Set pass type"))</x:f>
      </x:c>
      <x:c r="N203" s="13" t="str">
        <x:f>IF(A203="","",IF(COUNTIFS($A$6:$A$205,A203)&gt;1,"Duplicate ticket ID",IF(OR(B203="",J203="Booking missing/duplicate"),"Link a unique booking",IF(OR(C203="",D203="",E203="",F203=""),"Complete guest name, Instagram, phone and pass",IF(OR(L203&lt;0,L203&gt;8,L203&lt;&gt;INT(L203),AND(ISNUMBER(K203),L203&gt;K203)),"Invalid coupon redemption",IF(AND(H203="Checked in",OR(J203&lt;&gt;"Confirmed",G203&lt;&gt;"Verified at entry",I203="")),"Check payment, age and check-in time",""))))))</x:f>
      </x:c>
    </x:row>
    <x:row r="204" ht="22" customHeight="1">
      <x:c r="A204" s="9"/>
      <x:c r="B204" s="9"/>
      <x:c r="C204" s="9"/>
      <x:c r="D204" s="9"/>
      <x:c r="E204" s="19"/>
      <x:c r="F204" s="9"/>
      <x:c r="G204" s="9"/>
      <x:c r="H204" s="9"/>
      <x:c r="I204" s="18"/>
      <x:c r="J204" s="13" t="str">
        <x:f>IF(A204="","",IF(COUNTIFS('Bookings'!$A$6:$A$205,B204)&lt;&gt;1,"Booking missing/duplicate",IF(INDEX('Bookings'!$O$6:$O$205,MATCH(B204,'Bookings'!$A$6:$A$205,0))="","Not set",INDEX('Bookings'!$O$6:$O$205,MATCH(B204,'Bookings'!$A$6:$A$205,0)))))</x:f>
      </x:c>
      <x:c r="K204" s="13" t="str">
        <x:f>IF(A204="","",IF(F204="Alcohol-inclusive",8,IF(F204="Non-alcoholic",0,"Set pass type")))</x:f>
      </x:c>
      <x:c r="L204" s="9"/>
      <x:c r="M204" s="13" t="str">
        <x:f>IF(A204="","",IF(ISNUMBER(K204),K204-L204,"Set pass type"))</x:f>
      </x:c>
      <x:c r="N204" s="13" t="str">
        <x:f>IF(A204="","",IF(COUNTIFS($A$6:$A$205,A204)&gt;1,"Duplicate ticket ID",IF(OR(B204="",J204="Booking missing/duplicate"),"Link a unique booking",IF(OR(C204="",D204="",E204="",F204=""),"Complete guest name, Instagram, phone and pass",IF(OR(L204&lt;0,L204&gt;8,L204&lt;&gt;INT(L204),AND(ISNUMBER(K204),L204&gt;K204)),"Invalid coupon redemption",IF(AND(H204="Checked in",OR(J204&lt;&gt;"Confirmed",G204&lt;&gt;"Verified at entry",I204="")),"Check payment, age and check-in time",""))))))</x:f>
      </x:c>
    </x:row>
    <x:row r="205" ht="22" customHeight="1">
      <x:c r="A205" s="9"/>
      <x:c r="B205" s="9"/>
      <x:c r="C205" s="9"/>
      <x:c r="D205" s="9"/>
      <x:c r="E205" s="19"/>
      <x:c r="F205" s="9"/>
      <x:c r="G205" s="9"/>
      <x:c r="H205" s="9"/>
      <x:c r="I205" s="18"/>
      <x:c r="J205" s="13" t="str">
        <x:f>IF(A205="","",IF(COUNTIFS('Bookings'!$A$6:$A$205,B205)&lt;&gt;1,"Booking missing/duplicate",IF(INDEX('Bookings'!$O$6:$O$205,MATCH(B205,'Bookings'!$A$6:$A$205,0))="","Not set",INDEX('Bookings'!$O$6:$O$205,MATCH(B205,'Bookings'!$A$6:$A$205,0)))))</x:f>
      </x:c>
      <x:c r="K205" s="13" t="str">
        <x:f>IF(A205="","",IF(F205="Alcohol-inclusive",8,IF(F205="Non-alcoholic",0,"Set pass type")))</x:f>
      </x:c>
      <x:c r="L205" s="9"/>
      <x:c r="M205" s="13" t="str">
        <x:f>IF(A205="","",IF(ISNUMBER(K205),K205-L205,"Set pass type"))</x:f>
      </x:c>
      <x:c r="N205" s="13" t="str">
        <x:f>IF(A205="","",IF(COUNTIFS($A$6:$A$205,A205)&gt;1,"Duplicate ticket ID",IF(OR(B205="",J205="Booking missing/duplicate"),"Link a unique booking",IF(OR(C205="",D205="",E205="",F205=""),"Complete guest name, Instagram, phone and pass",IF(OR(L205&lt;0,L205&gt;8,L205&lt;&gt;INT(L205),AND(ISNUMBER(K205),L205&gt;K205)),"Invalid coupon redemption",IF(AND(H205="Checked in",OR(J205&lt;&gt;"Confirmed",G205&lt;&gt;"Verified at entry",I205="")),"Check payment, age and check-in time",""))))))</x:f>
      </x:c>
    </x:row>
  </x:sheetData>
  <x:conditionalFormatting sqref="N6:N205">
    <x:cfRule type="expression" dxfId="5" priority="1">
      <x:formula>LEN(N6)&gt;0</x:formula>
    </x:cfRule>
  </x:conditionalFormatting>
  <x:dataValidations count="4">
    <x:dataValidation type="list" sqref="F6:F205">
      <x:formula1>"Non-alcoholic,Alcohol-inclusive"</x:formula1>
    </x:dataValidation>
    <x:dataValidation type="list" sqref="G6:G205">
      <x:formula1>"To check,Verified at entry,Not eligible"</x:formula1>
    </x:dataValidation>
    <x:dataValidation type="list" sqref="H6:H205">
      <x:formula1>"Not checked in,Checked in"</x:formula1>
    </x:dataValidation>
    <x:dataValidation type="whole" operator="between" sqref="L6:L205">
      <x:formula1>0</x:formula1>
      <x:formula2>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5446bef896d43ab"/>
  </x:tableParts>
</x:worksheet>
</file>